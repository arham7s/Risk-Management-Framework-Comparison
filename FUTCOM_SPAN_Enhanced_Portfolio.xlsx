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anav Trivedi\Downloads\"/>
    </mc:Choice>
  </mc:AlternateContent>
  <xr:revisionPtr revIDLastSave="0" documentId="13_ncr:1_{31254741-F123-4F4D-9779-E632B8B5221E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PAN_Portfolio" sheetId="1" r:id="rId1"/>
    <sheet name="SPAN_Concept_Map" sheetId="2" r:id="rId2"/>
    <sheet name="Instrument_Notes" sheetId="3" r:id="rId3"/>
    <sheet name="Legend" sheetId="4" r:id="rId4"/>
  </sheets>
  <definedNames>
    <definedName name="_xlnm._FilterDatabase" localSheetId="0" hidden="1">SPAN_Portfolio!$A$1:$Q$23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<sst xmlns="http://schemas.openxmlformats.org/spreadsheetml/2006/main" count="303" uniqueCount="165">
  <si>
    <t>Row #</t>
  </si>
  <si>
    <t>Commodity</t>
  </si>
  <si>
    <t>Combined Commodity
(CC Group)</t>
  </si>
  <si>
    <t>Instrument
Type</t>
  </si>
  <si>
    <t>Buy / Sell</t>
  </si>
  <si>
    <t>Qty
(Lots)</t>
  </si>
  <si>
    <t>Contract
Month</t>
  </si>
  <si>
    <t>Futures Price
(₹/Qtl)</t>
  </si>
  <si>
    <t>Option
Premium (₹)</t>
  </si>
  <si>
    <t>Strike
Price (₹)</t>
  </si>
  <si>
    <t>Option
Type</t>
  </si>
  <si>
    <t>Implied
Vol (%)</t>
  </si>
  <si>
    <t>Lot Size
(MT)</t>
  </si>
  <si>
    <t>Contract
Value (₹)</t>
  </si>
  <si>
    <t>Approx
Delta</t>
  </si>
  <si>
    <t>SPAN Role / Tag</t>
  </si>
  <si>
    <t>SPAN Component
Activated</t>
  </si>
  <si>
    <t>Turmeric</t>
  </si>
  <si>
    <t>Spices CC</t>
  </si>
  <si>
    <t>Future</t>
  </si>
  <si>
    <t>Buy</t>
  </si>
  <si>
    <t>Apr-26</t>
  </si>
  <si>
    <t>Directional long future</t>
  </si>
  <si>
    <t>Price Scan Risk (PSR)</t>
  </si>
  <si>
    <t>Coriander</t>
  </si>
  <si>
    <t>Jeera</t>
  </si>
  <si>
    <t>Guar Gum</t>
  </si>
  <si>
    <t>Guar CC</t>
  </si>
  <si>
    <t>Price Scan Risk (PSR) + Inter-Commodity Spread</t>
  </si>
  <si>
    <t>Guar Seed</t>
  </si>
  <si>
    <t>PSR + Inter-Commodity Spread (Guar pair)</t>
  </si>
  <si>
    <t>Castor Seed</t>
  </si>
  <si>
    <t>Castor CC</t>
  </si>
  <si>
    <t>Cotton Seed Oil Cake</t>
  </si>
  <si>
    <t>Cotton CC</t>
  </si>
  <si>
    <t>PSR + Inter-Commodity Spread (Cotton pair)</t>
  </si>
  <si>
    <t>Kapas (Cotton)</t>
  </si>
  <si>
    <t>Jun-26</t>
  </si>
  <si>
    <t>Calendar Spread – Near Leg (Long)</t>
  </si>
  <si>
    <t>Intra-Commodity Spread Charge (ICSC)</t>
  </si>
  <si>
    <t>Sell</t>
  </si>
  <si>
    <t>Calendar Spread – Far Leg (Short)</t>
  </si>
  <si>
    <t>Option</t>
  </si>
  <si>
    <t>Call</t>
  </si>
  <si>
    <t>ATM Call – Long (Buyer)</t>
  </si>
  <si>
    <t>Volatility Scan Risk (VSR) + NOV</t>
  </si>
  <si>
    <t>OTM Call – Short (Seller)</t>
  </si>
  <si>
    <t>VSR + Net Option Value (NOV) + SOM check</t>
  </si>
  <si>
    <t>Put</t>
  </si>
  <si>
    <t>Near-ATM Put – Long (Buyer)</t>
  </si>
  <si>
    <t>VSR + NOV</t>
  </si>
  <si>
    <t>Near-ATM Put – Short (Seller)</t>
  </si>
  <si>
    <t>VSR + NOV + SOM check</t>
  </si>
  <si>
    <t>Near-ATM Call – Long (Buyer)</t>
  </si>
  <si>
    <t>Near-ATM Call – Short (Seller)</t>
  </si>
  <si>
    <t>Deep OTM Call – Short [SOM TRIGGER]</t>
  </si>
  <si>
    <t>Short Option Minimum (SOM)</t>
  </si>
  <si>
    <t>Deep OTM Put – Short [SOM TRIGGER]</t>
  </si>
  <si>
    <t>Portfolio Element</t>
  </si>
  <si>
    <t>Rows in Portfolio</t>
  </si>
  <si>
    <t>SPAN Component</t>
  </si>
  <si>
    <t>How It Works (Brief)</t>
  </si>
  <si>
    <t>8 Existing Futures</t>
  </si>
  <si>
    <t>Rows 1–8</t>
  </si>
  <si>
    <t>Each future is re-priced across 16 SPAN scenarios (±price &amp; ±vol). Worst loss = PSR.</t>
  </si>
  <si>
    <t>Turmeric Calendar Spread</t>
  </si>
  <si>
    <t>Rows 9–10</t>
  </si>
  <si>
    <t>Intra-Commodity Spread Charge</t>
  </si>
  <si>
    <t>Long Jun / Short Apr in same commodity. Residual basis risk charged after delta netting.</t>
  </si>
  <si>
    <t>Guar Seed Calendar Spread</t>
  </si>
  <si>
    <t>Rows 11–12</t>
  </si>
  <si>
    <t>Long Jun / Short Apr in same commodity. Demonstrates ICSC for oilseed group.</t>
  </si>
  <si>
    <t>ATM/Near-ATM Long Options</t>
  </si>
  <si>
    <t>Rows 13,15,17,19</t>
  </si>
  <si>
    <t>Volatility Scan Risk (VSR)</t>
  </si>
  <si>
    <t>Options re-priced at ±vol scenarios. Delta changes asymmetrically → VSR &gt; 0.</t>
  </si>
  <si>
    <t>ATM/Near-ATM Short Options</t>
  </si>
  <si>
    <t>Rows 14,16,18,20</t>
  </si>
  <si>
    <t>Net Option Value (NOV)</t>
  </si>
  <si>
    <t>Premium collected. NOV = Σ(option market value). Short options increase margin requirement.</t>
  </si>
  <si>
    <t>All Short Options</t>
  </si>
  <si>
    <t>Rows 14,16,18,20,21,22</t>
  </si>
  <si>
    <t>Short Option Minimum</t>
  </si>
  <si>
    <t>SOM ensures short option margin ≥ minimum floor, even when scan risk is near zero.</t>
  </si>
  <si>
    <t>Deep OTM Short Call – Jeera</t>
  </si>
  <si>
    <t>Row 21</t>
  </si>
  <si>
    <t>Delta ≈ –0.04, premium ₹85. PSR ≈ 0, but SOM floor kicks in as minimum charge.</t>
  </si>
  <si>
    <t>Deep OTM Short Put – Guar Seed</t>
  </si>
  <si>
    <t>Row 22</t>
  </si>
  <si>
    <t>Delta ≈ –0.03, premium ₹60. Classic SOM trigger: scan risk low, floor charge applied.</t>
  </si>
  <si>
    <t>Guar Gum ↔ Guar Seed pair</t>
  </si>
  <si>
    <t>Rows 4–5 + 11–12</t>
  </si>
  <si>
    <t>Inter-Commodity Spread Credit</t>
  </si>
  <si>
    <t>Both in 'Guar CC'. Opposing deltas qualify for partial credit via inter-CC spread table.</t>
  </si>
  <si>
    <t>Kapas ↔ Cotton Seed Oil Cake</t>
  </si>
  <si>
    <t>Rows 7–8 + 19–20</t>
  </si>
  <si>
    <t>Both in 'Cotton CC'. Correlated pair; delta netting reduces combined CC scan risk.</t>
  </si>
  <si>
    <t>Long Options (all)</t>
  </si>
  <si>
    <t>Adjusted Net Option Value</t>
  </si>
  <si>
    <t>ANOV = NOV adjusted for net long option benefit cap. Prevents overcredit.</t>
  </si>
  <si>
    <t>Instrument Added</t>
  </si>
  <si>
    <t>Why Added</t>
  </si>
  <si>
    <t>SPAN Component Enabled</t>
  </si>
  <si>
    <t>Turmeric Future Jun-26 (Long)</t>
  </si>
  <si>
    <t>Creates the near leg of a calendar spread in Spices CC.</t>
  </si>
  <si>
    <t>Turmeric Future Apr-26 (Short)</t>
  </si>
  <si>
    <t>Creates the far leg of a calendar spread; pair with row 9 shows basis/roll risk.</t>
  </si>
  <si>
    <t>Guar Seed Future Jun-26 (Long)</t>
  </si>
  <si>
    <t>Second calendar spread example in Oilseeds CC for Guar Seed.</t>
  </si>
  <si>
    <t>Guar Seed Future Apr-26 (Short)</t>
  </si>
  <si>
    <t>Short leg of Guar Seed calendar spread.</t>
  </si>
  <si>
    <t>Jeera ATM Call – Long</t>
  </si>
  <si>
    <t>Introduces option delta &amp; vega. Long position generates VSR and NOV credit.</t>
  </si>
  <si>
    <t>Volatility Scan Risk, NOV</t>
  </si>
  <si>
    <t>Jeera OTM Call – Short</t>
  </si>
  <si>
    <t>Short option position; demonstrates asymmetric P&amp;L, margin debit, and SOM check.</t>
  </si>
  <si>
    <t>VSR, NOV, Short Option Minimum</t>
  </si>
  <si>
    <t>Guar Gum Near-ATM Put – Long</t>
  </si>
  <si>
    <t>Adds put-side option risk in Guar CC; allows delta offset with futures in same CC.</t>
  </si>
  <si>
    <t>VSR, NOV, Inter-CC Spread</t>
  </si>
  <si>
    <t>Guar Gum Near-ATM Put – Short</t>
  </si>
  <si>
    <t>Short put in Guar CC; contributes negative NOV and triggers SOM evaluation.</t>
  </si>
  <si>
    <t>VSR, NOV, SOM</t>
  </si>
  <si>
    <t>Castor Seed Near-ATM Call – Long</t>
  </si>
  <si>
    <t>Adds options layer to Castor CC, previously futures-only.</t>
  </si>
  <si>
    <t>VSR, NOV</t>
  </si>
  <si>
    <t>Castor Seed Near-ATM Call – Short</t>
  </si>
  <si>
    <t>Short call in Castor CC; creates asymmetric risk needing VSR treatment.</t>
  </si>
  <si>
    <t>Kapas Near-ATM Put – Long</t>
  </si>
  <si>
    <t>Adds options to Cotton CC; delta of ~–0.45 interacts with long futures for net delta calc.</t>
  </si>
  <si>
    <t>Kapas Near-ATM Put – Short</t>
  </si>
  <si>
    <t>Short put in Cotton CC; negative NOV + SOM check needed.</t>
  </si>
  <si>
    <t>Jeera Deep OTM Call – Short ★SOM</t>
  </si>
  <si>
    <t>Strike 27000 vs spot 22285 (~+21% OTM). Delta ≈ –0.04. Premium ₹85. Scan risk ≈ 0 but SOM floor is binding.</t>
  </si>
  <si>
    <t>Short Option Minimum (PRIMARY)</t>
  </si>
  <si>
    <t>Guar Seed Deep OTM Put – Short ★SOM</t>
  </si>
  <si>
    <t>Strike 4500 vs spot 5715 (~–21% OTM). Delta ≈ –0.03. Premium ₹60. Classic SOM trigger instrument.</t>
  </si>
  <si>
    <t>Colour Legend</t>
  </si>
  <si>
    <t>Light Blue</t>
  </si>
  <si>
    <t>Existing Futures (from original portfolio)</t>
  </si>
  <si>
    <t>Light Yellow</t>
  </si>
  <si>
    <t>Calendar Spread legs (Intra-Commodity risk)</t>
  </si>
  <si>
    <t>Light Green</t>
  </si>
  <si>
    <t>Options – ATM / Near-ATM (VSR, NOV, SOM check)</t>
  </si>
  <si>
    <t>Light Orange</t>
  </si>
  <si>
    <t>Deep OTM Short Options – SOM trigger instruments</t>
  </si>
  <si>
    <t>Light Purple</t>
  </si>
  <si>
    <t>Inter-Commodity Spread pairs (in Concept Map)</t>
  </si>
  <si>
    <t>SPAN Abbreviations</t>
  </si>
  <si>
    <t>PSR</t>
  </si>
  <si>
    <t>Price Scan Risk – worst loss across 16 price/vol scenarios</t>
  </si>
  <si>
    <t>VSR</t>
  </si>
  <si>
    <t>Volatility Scan Risk – extra charge for options vega exposure</t>
  </si>
  <si>
    <t>ICSC</t>
  </si>
  <si>
    <t>Intra-Commodity Spread Charge – basis risk between contract months</t>
  </si>
  <si>
    <t>ICCS</t>
  </si>
  <si>
    <t>Inter-Commodity Credit Spread – delta offset between correlated CCs</t>
  </si>
  <si>
    <t>SOM</t>
  </si>
  <si>
    <t>Short Option Minimum – floor margin for deeply OTM short options</t>
  </si>
  <si>
    <t>NOV</t>
  </si>
  <si>
    <t>Net Option Value – marked-to-market value of all option positions</t>
  </si>
  <si>
    <t>ANOV</t>
  </si>
  <si>
    <t>Adjusted NOV – NOV capped by net long option benefit rule</t>
  </si>
  <si>
    <t>CC</t>
  </si>
  <si>
    <t>Combined Commodity – the SPAN grouping level for margin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</si>
</sst>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2CEEF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2" fontId="2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2CEEF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Normal="100" workbookViewId="0">
      <pane xSplit="1" ySplit="1" topLeftCell="F12" activePane="bottomRight" state="frozen"/>
      <selection pane="topRight" activeCell="B1" sqref="B1"/>
      <selection pane="bottomLeft" activeCell="A2" sqref="A2"/>
      <selection pane="bottomRight" activeCell="M15" sqref="M15"/>
    </sheetView>
  </sheetViews>
  <sheetFormatPr defaultColWidth="8.7109375" defaultRowHeight="15" x14ac:dyDescent="0.25"/>
  <cols>
    <col min="1" max="1" width="6" customWidth="1"/>
    <col min="2" max="3" width="22" customWidth="1"/>
    <col min="4" max="4" width="12" customWidth="1"/>
    <col min="5" max="5" width="10" customWidth="1"/>
    <col min="6" max="6" width="8" customWidth="1"/>
    <col min="7" max="7" width="13" customWidth="1"/>
    <col min="8" max="9" width="16" customWidth="1"/>
    <col min="10" max="10" width="14" customWidth="1"/>
    <col min="11" max="11" width="10" customWidth="1"/>
    <col min="12" max="12" width="12" customWidth="1"/>
    <col min="13" max="13" width="10" customWidth="1"/>
    <col min="14" max="14" width="18" customWidth="1"/>
    <col min="15" max="15" width="10" customWidth="1"/>
    <col min="16" max="16" width="26" customWidth="1"/>
    <col min="17" max="17" width="28" customWidth="1"/>
  </cols>
  <sheetData>
    <row r="1" spans="1:1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.75" customHeight="1" x14ac:dyDescent="0.2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</v>
      </c>
      <c r="G2" s="2" t="s">
        <v>21</v>
      </c>
      <c r="H2" s="3">
        <v>16220</v>
      </c>
      <c r="I2" s="3"/>
      <c r="J2" s="3"/>
      <c r="K2" s="2"/>
      <c r="L2" s="3"/>
      <c r="M2" s="2">
        <v>5</v>
      </c>
      <c r="N2" s="4">
        <f t="shared" ref="N2:N13" si="0">H2*M2*100</f>
        <v>8110000</v>
      </c>
      <c r="O2" s="5">
        <v>0.95</v>
      </c>
      <c r="P2" s="2" t="s">
        <v>22</v>
      </c>
      <c r="Q2" s="2" t="s">
        <v>23</v>
      </c>
    </row>
    <row r="3" spans="1:17" ht="21.75" customHeight="1" x14ac:dyDescent="0.25">
      <c r="A3" s="2">
        <v>2</v>
      </c>
      <c r="B3" s="2" t="s">
        <v>24</v>
      </c>
      <c r="C3" s="2" t="s">
        <v>18</v>
      </c>
      <c r="D3" s="2" t="s">
        <v>19</v>
      </c>
      <c r="E3" s="2" t="s">
        <v>20</v>
      </c>
      <c r="F3" s="2">
        <v>2</v>
      </c>
      <c r="G3" s="2" t="s">
        <v>21</v>
      </c>
      <c r="H3" s="3">
        <v>13350</v>
      </c>
      <c r="I3" s="3"/>
      <c r="J3" s="3"/>
      <c r="K3" s="2"/>
      <c r="L3" s="3"/>
      <c r="M3" s="2">
        <v>5</v>
      </c>
      <c r="N3" s="4">
        <f t="shared" si="0"/>
        <v>6675000</v>
      </c>
      <c r="O3" s="5">
        <v>0.95</v>
      </c>
      <c r="P3" s="2" t="s">
        <v>22</v>
      </c>
      <c r="Q3" s="2" t="s">
        <v>23</v>
      </c>
    </row>
    <row r="4" spans="1:17" ht="21.75" customHeight="1" x14ac:dyDescent="0.25">
      <c r="A4" s="2">
        <v>3</v>
      </c>
      <c r="B4" s="2" t="s">
        <v>25</v>
      </c>
      <c r="C4" s="2" t="s">
        <v>18</v>
      </c>
      <c r="D4" s="2" t="s">
        <v>19</v>
      </c>
      <c r="E4" s="2" t="s">
        <v>20</v>
      </c>
      <c r="F4" s="2">
        <v>2</v>
      </c>
      <c r="G4" s="2" t="s">
        <v>21</v>
      </c>
      <c r="H4" s="3">
        <v>22285</v>
      </c>
      <c r="I4" s="3"/>
      <c r="J4" s="3"/>
      <c r="K4" s="2"/>
      <c r="L4" s="3"/>
      <c r="M4" s="2">
        <v>3</v>
      </c>
      <c r="N4" s="4">
        <f t="shared" si="0"/>
        <v>6685500</v>
      </c>
      <c r="O4" s="5">
        <v>0.95</v>
      </c>
      <c r="P4" s="2" t="s">
        <v>22</v>
      </c>
      <c r="Q4" s="2" t="s">
        <v>23</v>
      </c>
    </row>
    <row r="5" spans="1:17" ht="21.75" customHeight="1" x14ac:dyDescent="0.25">
      <c r="A5" s="2">
        <v>4</v>
      </c>
      <c r="B5" s="2" t="s">
        <v>26</v>
      </c>
      <c r="C5" s="2" t="s">
        <v>27</v>
      </c>
      <c r="D5" s="2" t="s">
        <v>19</v>
      </c>
      <c r="E5" s="2" t="s">
        <v>20</v>
      </c>
      <c r="F5" s="2">
        <v>2</v>
      </c>
      <c r="G5" s="2" t="s">
        <v>21</v>
      </c>
      <c r="H5" s="3">
        <v>10756</v>
      </c>
      <c r="I5" s="3"/>
      <c r="J5" s="3"/>
      <c r="K5" s="2"/>
      <c r="L5" s="3"/>
      <c r="M5" s="2">
        <v>5</v>
      </c>
      <c r="N5" s="4">
        <f t="shared" si="0"/>
        <v>5378000</v>
      </c>
      <c r="O5" s="5">
        <v>0.95</v>
      </c>
      <c r="P5" s="2" t="s">
        <v>22</v>
      </c>
      <c r="Q5" s="2" t="s">
        <v>28</v>
      </c>
    </row>
    <row r="6" spans="1:17" ht="21.75" customHeight="1" x14ac:dyDescent="0.25">
      <c r="A6" s="2">
        <v>5</v>
      </c>
      <c r="B6" s="2" t="s">
        <v>29</v>
      </c>
      <c r="C6" s="2" t="s">
        <v>27</v>
      </c>
      <c r="D6" s="2" t="s">
        <v>19</v>
      </c>
      <c r="E6" s="2" t="s">
        <v>20</v>
      </c>
      <c r="F6" s="2">
        <v>4</v>
      </c>
      <c r="G6" s="2" t="s">
        <v>21</v>
      </c>
      <c r="H6" s="3">
        <v>5715</v>
      </c>
      <c r="I6" s="3"/>
      <c r="J6" s="3"/>
      <c r="K6" s="2"/>
      <c r="L6" s="3"/>
      <c r="M6" s="2">
        <v>5</v>
      </c>
      <c r="N6" s="4">
        <f t="shared" si="0"/>
        <v>2857500</v>
      </c>
      <c r="O6" s="5">
        <v>0.95</v>
      </c>
      <c r="P6" s="2" t="s">
        <v>22</v>
      </c>
      <c r="Q6" s="2" t="s">
        <v>30</v>
      </c>
    </row>
    <row r="7" spans="1:17" ht="21.75" customHeight="1" x14ac:dyDescent="0.25">
      <c r="A7" s="2">
        <v>6</v>
      </c>
      <c r="B7" s="2" t="s">
        <v>31</v>
      </c>
      <c r="C7" s="2" t="s">
        <v>32</v>
      </c>
      <c r="D7" s="2" t="s">
        <v>19</v>
      </c>
      <c r="E7" s="2" t="s">
        <v>20</v>
      </c>
      <c r="F7" s="2">
        <v>4</v>
      </c>
      <c r="G7" s="2" t="s">
        <v>21</v>
      </c>
      <c r="H7" s="3">
        <v>6392</v>
      </c>
      <c r="I7" s="3"/>
      <c r="J7" s="3"/>
      <c r="K7" s="2"/>
      <c r="L7" s="3"/>
      <c r="M7" s="2">
        <v>5</v>
      </c>
      <c r="N7" s="4">
        <f t="shared" si="0"/>
        <v>3196000</v>
      </c>
      <c r="O7" s="5">
        <v>0.95</v>
      </c>
      <c r="P7" s="2" t="s">
        <v>22</v>
      </c>
      <c r="Q7" s="2" t="s">
        <v>23</v>
      </c>
    </row>
    <row r="8" spans="1:17" ht="21.75" customHeight="1" x14ac:dyDescent="0.25">
      <c r="A8" s="2">
        <v>7</v>
      </c>
      <c r="B8" s="2" t="s">
        <v>33</v>
      </c>
      <c r="C8" s="2" t="s">
        <v>34</v>
      </c>
      <c r="D8" s="2" t="s">
        <v>19</v>
      </c>
      <c r="E8" s="2" t="s">
        <v>20</v>
      </c>
      <c r="F8" s="2">
        <v>2</v>
      </c>
      <c r="G8" s="2" t="s">
        <v>21</v>
      </c>
      <c r="H8" s="3">
        <v>3567</v>
      </c>
      <c r="I8" s="3"/>
      <c r="J8" s="3"/>
      <c r="K8" s="2"/>
      <c r="L8" s="3"/>
      <c r="M8" s="2">
        <v>10</v>
      </c>
      <c r="N8" s="4">
        <f t="shared" si="0"/>
        <v>3567000</v>
      </c>
      <c r="O8" s="5">
        <v>0.95</v>
      </c>
      <c r="P8" s="2" t="s">
        <v>22</v>
      </c>
      <c r="Q8" s="2" t="s">
        <v>35</v>
      </c>
    </row>
    <row r="9" spans="1:17" ht="21.75" customHeight="1" x14ac:dyDescent="0.25">
      <c r="A9" s="2">
        <v>8</v>
      </c>
      <c r="B9" s="2" t="s">
        <v>36</v>
      </c>
      <c r="C9" s="2" t="s">
        <v>34</v>
      </c>
      <c r="D9" s="2" t="s">
        <v>19</v>
      </c>
      <c r="E9" s="2" t="s">
        <v>20</v>
      </c>
      <c r="F9" s="2">
        <v>7</v>
      </c>
      <c r="G9" s="2" t="s">
        <v>21</v>
      </c>
      <c r="H9" s="3">
        <v>1682</v>
      </c>
      <c r="I9" s="3"/>
      <c r="J9" s="3"/>
      <c r="K9" s="2"/>
      <c r="L9" s="3"/>
      <c r="M9" s="2">
        <v>4</v>
      </c>
      <c r="N9" s="4">
        <f t="shared" si="0"/>
        <v>672800</v>
      </c>
      <c r="O9" s="5">
        <v>0.95</v>
      </c>
      <c r="P9" s="2" t="s">
        <v>22</v>
      </c>
      <c r="Q9" s="2" t="s">
        <v>35</v>
      </c>
    </row>
    <row r="10" spans="1:17" ht="21.75" customHeight="1" x14ac:dyDescent="0.25">
      <c r="A10" s="6">
        <v>9</v>
      </c>
      <c r="B10" s="6" t="s">
        <v>17</v>
      </c>
      <c r="C10" s="6" t="s">
        <v>18</v>
      </c>
      <c r="D10" s="6" t="s">
        <v>19</v>
      </c>
      <c r="E10" s="6" t="s">
        <v>20</v>
      </c>
      <c r="F10" s="6">
        <v>1</v>
      </c>
      <c r="G10" s="6" t="s">
        <v>37</v>
      </c>
      <c r="H10" s="7">
        <v>16450</v>
      </c>
      <c r="I10" s="7"/>
      <c r="J10" s="7"/>
      <c r="K10" s="6"/>
      <c r="L10" s="7"/>
      <c r="M10" s="6">
        <v>5</v>
      </c>
      <c r="N10" s="8">
        <f t="shared" si="0"/>
        <v>8225000</v>
      </c>
      <c r="O10" s="9">
        <v>0.95</v>
      </c>
      <c r="P10" s="6" t="s">
        <v>38</v>
      </c>
      <c r="Q10" s="6" t="s">
        <v>39</v>
      </c>
    </row>
    <row r="11" spans="1:17" ht="21.75" customHeight="1" x14ac:dyDescent="0.25">
      <c r="A11" s="6">
        <v>10</v>
      </c>
      <c r="B11" s="6" t="s">
        <v>17</v>
      </c>
      <c r="C11" s="6" t="s">
        <v>18</v>
      </c>
      <c r="D11" s="6" t="s">
        <v>19</v>
      </c>
      <c r="E11" s="6" t="s">
        <v>40</v>
      </c>
      <c r="F11" s="6">
        <v>1</v>
      </c>
      <c r="G11" s="6" t="s">
        <v>21</v>
      </c>
      <c r="H11" s="7">
        <v>16220</v>
      </c>
      <c r="I11" s="7"/>
      <c r="J11" s="7"/>
      <c r="K11" s="6"/>
      <c r="L11" s="7"/>
      <c r="M11" s="6">
        <v>5</v>
      </c>
      <c r="N11" s="8">
        <f t="shared" si="0"/>
        <v>8110000</v>
      </c>
      <c r="O11" s="9">
        <v>-0.95</v>
      </c>
      <c r="P11" s="6" t="s">
        <v>41</v>
      </c>
      <c r="Q11" s="6" t="s">
        <v>39</v>
      </c>
    </row>
    <row r="12" spans="1:17" ht="21.75" customHeight="1" x14ac:dyDescent="0.25">
      <c r="A12" s="6">
        <v>11</v>
      </c>
      <c r="B12" s="6" t="s">
        <v>29</v>
      </c>
      <c r="C12" s="6" t="s">
        <v>27</v>
      </c>
      <c r="D12" s="6" t="s">
        <v>19</v>
      </c>
      <c r="E12" s="6" t="s">
        <v>20</v>
      </c>
      <c r="F12" s="6">
        <v>2</v>
      </c>
      <c r="G12" s="6" t="s">
        <v>37</v>
      </c>
      <c r="H12" s="7">
        <v>5800</v>
      </c>
      <c r="I12" s="7"/>
      <c r="J12" s="7"/>
      <c r="K12" s="6"/>
      <c r="L12" s="7"/>
      <c r="M12" s="6">
        <v>5</v>
      </c>
      <c r="N12" s="8">
        <f t="shared" si="0"/>
        <v>2900000</v>
      </c>
      <c r="O12" s="9">
        <v>0.95</v>
      </c>
      <c r="P12" s="6" t="s">
        <v>38</v>
      </c>
      <c r="Q12" s="6" t="s">
        <v>39</v>
      </c>
    </row>
    <row r="13" spans="1:17" ht="21.75" customHeight="1" x14ac:dyDescent="0.25">
      <c r="A13" s="6">
        <v>12</v>
      </c>
      <c r="B13" s="6" t="s">
        <v>29</v>
      </c>
      <c r="C13" s="6" t="s">
        <v>27</v>
      </c>
      <c r="D13" s="6" t="s">
        <v>19</v>
      </c>
      <c r="E13" s="6" t="s">
        <v>40</v>
      </c>
      <c r="F13" s="6">
        <v>2</v>
      </c>
      <c r="G13" s="6" t="s">
        <v>21</v>
      </c>
      <c r="H13" s="7">
        <v>5715</v>
      </c>
      <c r="I13" s="7"/>
      <c r="J13" s="7"/>
      <c r="K13" s="6"/>
      <c r="L13" s="7"/>
      <c r="M13" s="6">
        <v>5</v>
      </c>
      <c r="N13" s="8">
        <f t="shared" si="0"/>
        <v>2857500</v>
      </c>
      <c r="O13" s="9">
        <v>-0.95</v>
      </c>
      <c r="P13" s="6" t="s">
        <v>41</v>
      </c>
      <c r="Q13" s="6" t="s">
        <v>39</v>
      </c>
    </row>
    <row r="14" spans="1:17" ht="21.75" customHeight="1" x14ac:dyDescent="0.25">
      <c r="A14" s="10">
        <v>13</v>
      </c>
      <c r="B14" s="10" t="s">
        <v>25</v>
      </c>
      <c r="C14" s="10" t="s">
        <v>18</v>
      </c>
      <c r="D14" s="10" t="s">
        <v>42</v>
      </c>
      <c r="E14" s="10" t="s">
        <v>20</v>
      </c>
      <c r="F14" s="10">
        <v>1</v>
      </c>
      <c r="G14" s="10" t="s">
        <v>21</v>
      </c>
      <c r="H14" s="11"/>
      <c r="I14" s="11">
        <v>1200</v>
      </c>
      <c r="J14" s="11">
        <v>22000</v>
      </c>
      <c r="K14" s="10" t="s">
        <v>43</v>
      </c>
      <c r="L14" s="11">
        <v>28</v>
      </c>
      <c r="M14" s="10">
        <v>3</v>
      </c>
      <c r="N14" s="12">
        <f t="shared" ref="N14:N23" si="1">I14*M14*100</f>
        <v>360000</v>
      </c>
      <c r="O14" s="13">
        <v>0.52</v>
      </c>
      <c r="P14" s="10" t="s">
        <v>44</v>
      </c>
      <c r="Q14" s="10" t="s">
        <v>45</v>
      </c>
    </row>
    <row r="15" spans="1:17" ht="21.75" customHeight="1" x14ac:dyDescent="0.25">
      <c r="A15" s="10">
        <v>14</v>
      </c>
      <c r="B15" s="10" t="s">
        <v>25</v>
      </c>
      <c r="C15" s="10" t="s">
        <v>18</v>
      </c>
      <c r="D15" s="10" t="s">
        <v>42</v>
      </c>
      <c r="E15" s="10" t="s">
        <v>40</v>
      </c>
      <c r="F15" s="10">
        <v>2</v>
      </c>
      <c r="G15" s="10" t="s">
        <v>21</v>
      </c>
      <c r="H15" s="11"/>
      <c r="I15" s="11">
        <v>900</v>
      </c>
      <c r="J15" s="11">
        <v>23000</v>
      </c>
      <c r="K15" s="10" t="s">
        <v>43</v>
      </c>
      <c r="L15" s="11">
        <v>28</v>
      </c>
      <c r="M15" s="10">
        <v>3</v>
      </c>
      <c r="N15" s="12">
        <f t="shared" si="1"/>
        <v>270000</v>
      </c>
      <c r="O15" s="13">
        <v>-0.38</v>
      </c>
      <c r="P15" s="10" t="s">
        <v>46</v>
      </c>
      <c r="Q15" s="10" t="s">
        <v>47</v>
      </c>
    </row>
    <row r="16" spans="1:17" ht="21.75" customHeight="1" x14ac:dyDescent="0.25">
      <c r="A16" s="10">
        <v>15</v>
      </c>
      <c r="B16" s="10" t="s">
        <v>26</v>
      </c>
      <c r="C16" s="10" t="s">
        <v>27</v>
      </c>
      <c r="D16" s="10" t="s">
        <v>42</v>
      </c>
      <c r="E16" s="10" t="s">
        <v>20</v>
      </c>
      <c r="F16" s="10">
        <v>1</v>
      </c>
      <c r="G16" s="10" t="s">
        <v>21</v>
      </c>
      <c r="H16" s="11"/>
      <c r="I16" s="11">
        <v>600</v>
      </c>
      <c r="J16" s="11">
        <v>10500</v>
      </c>
      <c r="K16" s="10" t="s">
        <v>48</v>
      </c>
      <c r="L16" s="11">
        <v>26</v>
      </c>
      <c r="M16" s="10">
        <v>5</v>
      </c>
      <c r="N16" s="12">
        <f t="shared" si="1"/>
        <v>300000</v>
      </c>
      <c r="O16" s="13">
        <v>-0.48</v>
      </c>
      <c r="P16" s="10" t="s">
        <v>49</v>
      </c>
      <c r="Q16" s="10" t="s">
        <v>50</v>
      </c>
    </row>
    <row r="17" spans="1:17" ht="21.75" customHeight="1" x14ac:dyDescent="0.25">
      <c r="A17" s="10">
        <v>16</v>
      </c>
      <c r="B17" s="10" t="s">
        <v>26</v>
      </c>
      <c r="C17" s="10" t="s">
        <v>27</v>
      </c>
      <c r="D17" s="10" t="s">
        <v>42</v>
      </c>
      <c r="E17" s="10" t="s">
        <v>40</v>
      </c>
      <c r="F17" s="10">
        <v>1</v>
      </c>
      <c r="G17" s="10" t="s">
        <v>21</v>
      </c>
      <c r="H17" s="11"/>
      <c r="I17" s="11">
        <v>480</v>
      </c>
      <c r="J17" s="11">
        <v>10500</v>
      </c>
      <c r="K17" s="10" t="s">
        <v>48</v>
      </c>
      <c r="L17" s="11">
        <v>26</v>
      </c>
      <c r="M17" s="10">
        <v>5</v>
      </c>
      <c r="N17" s="12">
        <f t="shared" si="1"/>
        <v>240000</v>
      </c>
      <c r="O17" s="13">
        <v>0.48</v>
      </c>
      <c r="P17" s="10" t="s">
        <v>51</v>
      </c>
      <c r="Q17" s="10" t="s">
        <v>52</v>
      </c>
    </row>
    <row r="18" spans="1:17" ht="21.75" customHeight="1" x14ac:dyDescent="0.25">
      <c r="A18" s="10">
        <v>17</v>
      </c>
      <c r="B18" s="10" t="s">
        <v>31</v>
      </c>
      <c r="C18" s="10" t="s">
        <v>32</v>
      </c>
      <c r="D18" s="10" t="s">
        <v>42</v>
      </c>
      <c r="E18" s="10" t="s">
        <v>20</v>
      </c>
      <c r="F18" s="10">
        <v>2</v>
      </c>
      <c r="G18" s="10" t="s">
        <v>21</v>
      </c>
      <c r="H18" s="11"/>
      <c r="I18" s="11">
        <v>750</v>
      </c>
      <c r="J18" s="11">
        <v>6200</v>
      </c>
      <c r="K18" s="10" t="s">
        <v>43</v>
      </c>
      <c r="L18" s="11">
        <v>24</v>
      </c>
      <c r="M18" s="10">
        <v>5</v>
      </c>
      <c r="N18" s="12">
        <f t="shared" si="1"/>
        <v>375000</v>
      </c>
      <c r="O18" s="13">
        <v>0.55000000000000004</v>
      </c>
      <c r="P18" s="10" t="s">
        <v>53</v>
      </c>
      <c r="Q18" s="10" t="s">
        <v>50</v>
      </c>
    </row>
    <row r="19" spans="1:17" ht="21.75" customHeight="1" x14ac:dyDescent="0.25">
      <c r="A19" s="10">
        <v>18</v>
      </c>
      <c r="B19" s="10" t="s">
        <v>31</v>
      </c>
      <c r="C19" s="10" t="s">
        <v>32</v>
      </c>
      <c r="D19" s="10" t="s">
        <v>42</v>
      </c>
      <c r="E19" s="10" t="s">
        <v>40</v>
      </c>
      <c r="F19" s="10">
        <v>2</v>
      </c>
      <c r="G19" s="10" t="s">
        <v>21</v>
      </c>
      <c r="H19" s="11"/>
      <c r="I19" s="11">
        <v>600</v>
      </c>
      <c r="J19" s="11">
        <v>6200</v>
      </c>
      <c r="K19" s="10" t="s">
        <v>43</v>
      </c>
      <c r="L19" s="11">
        <v>24</v>
      </c>
      <c r="M19" s="10">
        <v>5</v>
      </c>
      <c r="N19" s="12">
        <f t="shared" si="1"/>
        <v>300000</v>
      </c>
      <c r="O19" s="13">
        <v>-0.55000000000000004</v>
      </c>
      <c r="P19" s="10" t="s">
        <v>54</v>
      </c>
      <c r="Q19" s="10" t="s">
        <v>52</v>
      </c>
    </row>
    <row r="20" spans="1:17" ht="21.75" customHeight="1" x14ac:dyDescent="0.25">
      <c r="A20" s="10">
        <v>19</v>
      </c>
      <c r="B20" s="10" t="s">
        <v>36</v>
      </c>
      <c r="C20" s="10" t="s">
        <v>34</v>
      </c>
      <c r="D20" s="10" t="s">
        <v>42</v>
      </c>
      <c r="E20" s="10" t="s">
        <v>20</v>
      </c>
      <c r="F20" s="10">
        <v>3</v>
      </c>
      <c r="G20" s="10" t="s">
        <v>21</v>
      </c>
      <c r="H20" s="11"/>
      <c r="I20" s="11">
        <v>80</v>
      </c>
      <c r="J20" s="11">
        <v>1650</v>
      </c>
      <c r="K20" s="10" t="s">
        <v>48</v>
      </c>
      <c r="L20" s="11">
        <v>22</v>
      </c>
      <c r="M20" s="10">
        <v>4</v>
      </c>
      <c r="N20" s="12">
        <f t="shared" si="1"/>
        <v>32000</v>
      </c>
      <c r="O20" s="13">
        <v>-0.45</v>
      </c>
      <c r="P20" s="10" t="s">
        <v>49</v>
      </c>
      <c r="Q20" s="10" t="s">
        <v>50</v>
      </c>
    </row>
    <row r="21" spans="1:17" ht="21.75" customHeight="1" x14ac:dyDescent="0.25">
      <c r="A21" s="10">
        <v>20</v>
      </c>
      <c r="B21" s="10" t="s">
        <v>36</v>
      </c>
      <c r="C21" s="10" t="s">
        <v>34</v>
      </c>
      <c r="D21" s="10" t="s">
        <v>42</v>
      </c>
      <c r="E21" s="10" t="s">
        <v>40</v>
      </c>
      <c r="F21" s="10">
        <v>3</v>
      </c>
      <c r="G21" s="10" t="s">
        <v>21</v>
      </c>
      <c r="H21" s="11"/>
      <c r="I21" s="11">
        <v>65</v>
      </c>
      <c r="J21" s="11">
        <v>1650</v>
      </c>
      <c r="K21" s="10" t="s">
        <v>48</v>
      </c>
      <c r="L21" s="11">
        <v>22</v>
      </c>
      <c r="M21" s="10">
        <v>4</v>
      </c>
      <c r="N21" s="12">
        <f t="shared" si="1"/>
        <v>26000</v>
      </c>
      <c r="O21" s="13">
        <v>0.45</v>
      </c>
      <c r="P21" s="10" t="s">
        <v>51</v>
      </c>
      <c r="Q21" s="10" t="s">
        <v>52</v>
      </c>
    </row>
    <row r="22" spans="1:17" ht="21.75" customHeight="1" x14ac:dyDescent="0.25">
      <c r="A22" s="14">
        <v>21</v>
      </c>
      <c r="B22" s="14" t="s">
        <v>25</v>
      </c>
      <c r="C22" s="14" t="s">
        <v>18</v>
      </c>
      <c r="D22" s="14" t="s">
        <v>42</v>
      </c>
      <c r="E22" s="14" t="s">
        <v>40</v>
      </c>
      <c r="F22" s="14">
        <v>3</v>
      </c>
      <c r="G22" s="14" t="s">
        <v>21</v>
      </c>
      <c r="H22" s="15"/>
      <c r="I22" s="15">
        <v>85</v>
      </c>
      <c r="J22" s="15">
        <v>27000</v>
      </c>
      <c r="K22" s="14" t="s">
        <v>43</v>
      </c>
      <c r="L22" s="15">
        <v>28</v>
      </c>
      <c r="M22" s="14">
        <v>3</v>
      </c>
      <c r="N22" s="16">
        <f t="shared" si="1"/>
        <v>25500</v>
      </c>
      <c r="O22" s="17">
        <v>-0.04</v>
      </c>
      <c r="P22" s="14" t="s">
        <v>55</v>
      </c>
      <c r="Q22" s="14" t="s">
        <v>56</v>
      </c>
    </row>
    <row r="23" spans="1:17" ht="21.75" customHeight="1" x14ac:dyDescent="0.25">
      <c r="A23" s="14">
        <v>22</v>
      </c>
      <c r="B23" s="14" t="s">
        <v>29</v>
      </c>
      <c r="C23" s="14" t="s">
        <v>27</v>
      </c>
      <c r="D23" s="14" t="s">
        <v>42</v>
      </c>
      <c r="E23" s="14" t="s">
        <v>40</v>
      </c>
      <c r="F23" s="14">
        <v>2</v>
      </c>
      <c r="G23" s="14" t="s">
        <v>21</v>
      </c>
      <c r="H23" s="15"/>
      <c r="I23" s="15">
        <v>60</v>
      </c>
      <c r="J23" s="15">
        <v>4500</v>
      </c>
      <c r="K23" s="14" t="s">
        <v>48</v>
      </c>
      <c r="L23" s="15">
        <v>26</v>
      </c>
      <c r="M23" s="14">
        <v>5</v>
      </c>
      <c r="N23" s="16">
        <f t="shared" si="1"/>
        <v>30000</v>
      </c>
      <c r="O23" s="17">
        <v>-0.03</v>
      </c>
      <c r="P23" s="14" t="s">
        <v>57</v>
      </c>
      <c r="Q23" s="14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30" customWidth="1"/>
    <col min="2" max="2" width="20" customWidth="1"/>
    <col min="3" max="3" width="32" customWidth="1"/>
    <col min="4" max="4" width="60" customWidth="1"/>
  </cols>
  <sheetData>
    <row r="1" spans="1:4" ht="27.75" customHeight="1" x14ac:dyDescent="0.25">
      <c r="A1" s="1" t="s">
        <v>58</v>
      </c>
      <c r="B1" s="1" t="s">
        <v>59</v>
      </c>
      <c r="C1" s="1" t="s">
        <v>60</v>
      </c>
      <c r="D1" s="1" t="s">
        <v>61</v>
      </c>
    </row>
    <row r="2" spans="1:4" ht="36" customHeight="1" x14ac:dyDescent="0.25">
      <c r="A2" s="18" t="s">
        <v>62</v>
      </c>
      <c r="B2" s="18" t="s">
        <v>63</v>
      </c>
      <c r="C2" s="18" t="s">
        <v>23</v>
      </c>
      <c r="D2" s="18" t="s">
        <v>64</v>
      </c>
    </row>
    <row r="3" spans="1:4" ht="36" customHeight="1" x14ac:dyDescent="0.25">
      <c r="A3" s="19" t="s">
        <v>65</v>
      </c>
      <c r="B3" s="19" t="s">
        <v>66</v>
      </c>
      <c r="C3" s="19" t="s">
        <v>67</v>
      </c>
      <c r="D3" s="19" t="s">
        <v>68</v>
      </c>
    </row>
    <row r="4" spans="1:4" ht="36" customHeight="1" x14ac:dyDescent="0.25">
      <c r="A4" s="19" t="s">
        <v>69</v>
      </c>
      <c r="B4" s="19" t="s">
        <v>70</v>
      </c>
      <c r="C4" s="19" t="s">
        <v>67</v>
      </c>
      <c r="D4" s="19" t="s">
        <v>71</v>
      </c>
    </row>
    <row r="5" spans="1:4" ht="36" customHeight="1" x14ac:dyDescent="0.25">
      <c r="A5" s="20" t="s">
        <v>72</v>
      </c>
      <c r="B5" s="20" t="s">
        <v>73</v>
      </c>
      <c r="C5" s="20" t="s">
        <v>74</v>
      </c>
      <c r="D5" s="20" t="s">
        <v>75</v>
      </c>
    </row>
    <row r="6" spans="1:4" ht="36" customHeight="1" x14ac:dyDescent="0.25">
      <c r="A6" s="20" t="s">
        <v>76</v>
      </c>
      <c r="B6" s="20" t="s">
        <v>77</v>
      </c>
      <c r="C6" s="20" t="s">
        <v>78</v>
      </c>
      <c r="D6" s="20" t="s">
        <v>79</v>
      </c>
    </row>
    <row r="7" spans="1:4" ht="36" customHeight="1" x14ac:dyDescent="0.25">
      <c r="A7" s="21" t="s">
        <v>80</v>
      </c>
      <c r="B7" s="21" t="s">
        <v>81</v>
      </c>
      <c r="C7" s="21" t="s">
        <v>82</v>
      </c>
      <c r="D7" s="21" t="s">
        <v>83</v>
      </c>
    </row>
    <row r="8" spans="1:4" ht="36" customHeight="1" x14ac:dyDescent="0.25">
      <c r="A8" s="21" t="s">
        <v>84</v>
      </c>
      <c r="B8" s="21" t="s">
        <v>85</v>
      </c>
      <c r="C8" s="21" t="s">
        <v>56</v>
      </c>
      <c r="D8" s="21" t="s">
        <v>86</v>
      </c>
    </row>
    <row r="9" spans="1:4" ht="36" customHeight="1" x14ac:dyDescent="0.25">
      <c r="A9" s="21" t="s">
        <v>87</v>
      </c>
      <c r="B9" s="21" t="s">
        <v>88</v>
      </c>
      <c r="C9" s="21" t="s">
        <v>56</v>
      </c>
      <c r="D9" s="21" t="s">
        <v>89</v>
      </c>
    </row>
    <row r="10" spans="1:4" ht="36" customHeight="1" x14ac:dyDescent="0.25">
      <c r="A10" s="22" t="s">
        <v>90</v>
      </c>
      <c r="B10" s="22" t="s">
        <v>91</v>
      </c>
      <c r="C10" s="22" t="s">
        <v>92</v>
      </c>
      <c r="D10" s="22" t="s">
        <v>93</v>
      </c>
    </row>
    <row r="11" spans="1:4" ht="36" customHeight="1" x14ac:dyDescent="0.25">
      <c r="A11" s="22" t="s">
        <v>94</v>
      </c>
      <c r="B11" s="22" t="s">
        <v>95</v>
      </c>
      <c r="C11" s="22" t="s">
        <v>92</v>
      </c>
      <c r="D11" s="22" t="s">
        <v>96</v>
      </c>
    </row>
    <row r="12" spans="1:4" ht="36" customHeight="1" x14ac:dyDescent="0.25">
      <c r="A12" s="20" t="s">
        <v>97</v>
      </c>
      <c r="B12" s="20" t="s">
        <v>73</v>
      </c>
      <c r="C12" s="20" t="s">
        <v>98</v>
      </c>
      <c r="D12" s="20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opLeftCell="A4" zoomScaleNormal="100" workbookViewId="0">
      <selection activeCell="A2" sqref="A2"/>
    </sheetView>
  </sheetViews>
  <sheetFormatPr defaultColWidth="8.7109375" defaultRowHeight="15" x14ac:dyDescent="0.25"/>
  <cols>
    <col min="1" max="1" width="6" customWidth="1"/>
    <col min="2" max="2" width="30" customWidth="1"/>
    <col min="3" max="3" width="55" customWidth="1"/>
    <col min="4" max="4" width="40" customWidth="1"/>
  </cols>
  <sheetData>
    <row r="1" spans="1:4" ht="27.75" customHeight="1" x14ac:dyDescent="0.25">
      <c r="A1" s="1" t="s">
        <v>0</v>
      </c>
      <c r="B1" s="1" t="s">
        <v>100</v>
      </c>
      <c r="C1" s="1" t="s">
        <v>101</v>
      </c>
      <c r="D1" s="1" t="s">
        <v>102</v>
      </c>
    </row>
    <row r="2" spans="1:4" ht="39.75" customHeight="1" x14ac:dyDescent="0.25">
      <c r="A2" s="19">
        <v>9</v>
      </c>
      <c r="B2" s="19" t="s">
        <v>103</v>
      </c>
      <c r="C2" s="19" t="s">
        <v>104</v>
      </c>
      <c r="D2" s="19" t="s">
        <v>39</v>
      </c>
    </row>
    <row r="3" spans="1:4" ht="39.75" customHeight="1" x14ac:dyDescent="0.25">
      <c r="A3" s="19">
        <v>10</v>
      </c>
      <c r="B3" s="19" t="s">
        <v>105</v>
      </c>
      <c r="C3" s="19" t="s">
        <v>106</v>
      </c>
      <c r="D3" s="19" t="s">
        <v>39</v>
      </c>
    </row>
    <row r="4" spans="1:4" ht="39.75" customHeight="1" x14ac:dyDescent="0.25">
      <c r="A4" s="19">
        <v>11</v>
      </c>
      <c r="B4" s="19" t="s">
        <v>107</v>
      </c>
      <c r="C4" s="19" t="s">
        <v>108</v>
      </c>
      <c r="D4" s="19" t="s">
        <v>39</v>
      </c>
    </row>
    <row r="5" spans="1:4" ht="39.75" customHeight="1" x14ac:dyDescent="0.25">
      <c r="A5" s="19">
        <v>12</v>
      </c>
      <c r="B5" s="19" t="s">
        <v>109</v>
      </c>
      <c r="C5" s="19" t="s">
        <v>110</v>
      </c>
      <c r="D5" s="19" t="s">
        <v>39</v>
      </c>
    </row>
    <row r="6" spans="1:4" ht="39.75" customHeight="1" x14ac:dyDescent="0.25">
      <c r="A6" s="20">
        <v>13</v>
      </c>
      <c r="B6" s="20" t="s">
        <v>111</v>
      </c>
      <c r="C6" s="20" t="s">
        <v>112</v>
      </c>
      <c r="D6" s="20" t="s">
        <v>113</v>
      </c>
    </row>
    <row r="7" spans="1:4" ht="39.75" customHeight="1" x14ac:dyDescent="0.25">
      <c r="A7" s="20">
        <v>14</v>
      </c>
      <c r="B7" s="20" t="s">
        <v>114</v>
      </c>
      <c r="C7" s="20" t="s">
        <v>115</v>
      </c>
      <c r="D7" s="20" t="s">
        <v>116</v>
      </c>
    </row>
    <row r="8" spans="1:4" ht="39.75" customHeight="1" x14ac:dyDescent="0.25">
      <c r="A8" s="20">
        <v>15</v>
      </c>
      <c r="B8" s="20" t="s">
        <v>117</v>
      </c>
      <c r="C8" s="20" t="s">
        <v>118</v>
      </c>
      <c r="D8" s="20" t="s">
        <v>119</v>
      </c>
    </row>
    <row r="9" spans="1:4" ht="39.75" customHeight="1" x14ac:dyDescent="0.25">
      <c r="A9" s="20">
        <v>16</v>
      </c>
      <c r="B9" s="20" t="s">
        <v>120</v>
      </c>
      <c r="C9" s="20" t="s">
        <v>121</v>
      </c>
      <c r="D9" s="20" t="s">
        <v>122</v>
      </c>
    </row>
    <row r="10" spans="1:4" ht="39.75" customHeight="1" x14ac:dyDescent="0.25">
      <c r="A10" s="20">
        <v>17</v>
      </c>
      <c r="B10" s="20" t="s">
        <v>123</v>
      </c>
      <c r="C10" s="20" t="s">
        <v>124</v>
      </c>
      <c r="D10" s="20" t="s">
        <v>125</v>
      </c>
    </row>
    <row r="11" spans="1:4" ht="39.75" customHeight="1" x14ac:dyDescent="0.25">
      <c r="A11" s="20">
        <v>18</v>
      </c>
      <c r="B11" s="20" t="s">
        <v>126</v>
      </c>
      <c r="C11" s="20" t="s">
        <v>127</v>
      </c>
      <c r="D11" s="20" t="s">
        <v>122</v>
      </c>
    </row>
    <row r="12" spans="1:4" ht="39.75" customHeight="1" x14ac:dyDescent="0.25">
      <c r="A12" s="20">
        <v>19</v>
      </c>
      <c r="B12" s="20" t="s">
        <v>128</v>
      </c>
      <c r="C12" s="20" t="s">
        <v>129</v>
      </c>
      <c r="D12" s="20" t="s">
        <v>119</v>
      </c>
    </row>
    <row r="13" spans="1:4" ht="39.75" customHeight="1" x14ac:dyDescent="0.25">
      <c r="A13" s="20">
        <v>20</v>
      </c>
      <c r="B13" s="20" t="s">
        <v>130</v>
      </c>
      <c r="C13" s="20" t="s">
        <v>131</v>
      </c>
      <c r="D13" s="20" t="s">
        <v>122</v>
      </c>
    </row>
    <row r="14" spans="1:4" ht="39.75" customHeight="1" x14ac:dyDescent="0.25">
      <c r="A14" s="21">
        <v>21</v>
      </c>
      <c r="B14" s="21" t="s">
        <v>132</v>
      </c>
      <c r="C14" s="21" t="s">
        <v>133</v>
      </c>
      <c r="D14" s="21" t="s">
        <v>134</v>
      </c>
    </row>
    <row r="15" spans="1:4" ht="39.75" customHeight="1" x14ac:dyDescent="0.25">
      <c r="A15" s="21">
        <v>22</v>
      </c>
      <c r="B15" s="21" t="s">
        <v>135</v>
      </c>
      <c r="C15" s="21" t="s">
        <v>136</v>
      </c>
      <c r="D15" s="21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Normal="100" workbookViewId="0">
      <selection activeCell="F8" sqref="F8"/>
    </sheetView>
  </sheetViews>
  <sheetFormatPr defaultColWidth="8.7109375" defaultRowHeight="15" x14ac:dyDescent="0.25"/>
  <cols>
    <col min="1" max="1" width="30" customWidth="1"/>
    <col min="2" max="2" width="65" customWidth="1"/>
  </cols>
  <sheetData>
    <row r="1" spans="1:2" ht="18" customHeight="1" x14ac:dyDescent="0.25">
      <c r="A1" s="23" t="s">
        <v>137</v>
      </c>
      <c r="B1" s="24"/>
    </row>
    <row r="2" spans="1:2" ht="18" customHeight="1" x14ac:dyDescent="0.25">
      <c r="A2" s="25" t="s">
        <v>138</v>
      </c>
      <c r="B2" s="26" t="s">
        <v>139</v>
      </c>
    </row>
    <row r="3" spans="1:2" ht="18" customHeight="1" x14ac:dyDescent="0.25">
      <c r="A3" s="27" t="s">
        <v>140</v>
      </c>
      <c r="B3" s="26" t="s">
        <v>141</v>
      </c>
    </row>
    <row r="4" spans="1:2" ht="18" customHeight="1" x14ac:dyDescent="0.25">
      <c r="A4" s="28" t="s">
        <v>142</v>
      </c>
      <c r="B4" s="26" t="s">
        <v>143</v>
      </c>
    </row>
    <row r="5" spans="1:2" ht="18" customHeight="1" x14ac:dyDescent="0.25">
      <c r="A5" s="29" t="s">
        <v>144</v>
      </c>
      <c r="B5" s="26" t="s">
        <v>145</v>
      </c>
    </row>
    <row r="6" spans="1:2" ht="18" customHeight="1" x14ac:dyDescent="0.25">
      <c r="A6" s="30" t="s">
        <v>146</v>
      </c>
      <c r="B6" s="26" t="s">
        <v>147</v>
      </c>
    </row>
    <row r="7" spans="1:2" ht="18" customHeight="1" x14ac:dyDescent="0.25">
      <c r="A7" s="26"/>
      <c r="B7" s="26"/>
    </row>
    <row r="8" spans="1:2" ht="18" customHeight="1" x14ac:dyDescent="0.25">
      <c r="A8" s="23" t="s">
        <v>148</v>
      </c>
      <c r="B8" s="24"/>
    </row>
    <row r="9" spans="1:2" ht="18" customHeight="1" x14ac:dyDescent="0.25">
      <c r="A9" s="26" t="s">
        <v>149</v>
      </c>
      <c r="B9" s="26" t="s">
        <v>150</v>
      </c>
    </row>
    <row r="10" spans="1:2" ht="18" customHeight="1" x14ac:dyDescent="0.25">
      <c r="A10" s="26" t="s">
        <v>151</v>
      </c>
      <c r="B10" s="26" t="s">
        <v>152</v>
      </c>
    </row>
    <row r="11" spans="1:2" ht="18" customHeight="1" x14ac:dyDescent="0.25">
      <c r="A11" s="26" t="s">
        <v>153</v>
      </c>
      <c r="B11" s="26" t="s">
        <v>154</v>
      </c>
    </row>
    <row r="12" spans="1:2" ht="18" customHeight="1" x14ac:dyDescent="0.25">
      <c r="A12" s="26" t="s">
        <v>155</v>
      </c>
      <c r="B12" s="26" t="s">
        <v>156</v>
      </c>
    </row>
    <row r="13" spans="1:2" ht="18" customHeight="1" x14ac:dyDescent="0.25">
      <c r="A13" s="26" t="s">
        <v>157</v>
      </c>
      <c r="B13" s="26" t="s">
        <v>158</v>
      </c>
    </row>
    <row r="14" spans="1:2" ht="18" customHeight="1" x14ac:dyDescent="0.25">
      <c r="A14" s="26" t="s">
        <v>159</v>
      </c>
      <c r="B14" s="26" t="s">
        <v>160</v>
      </c>
    </row>
    <row r="15" spans="1:2" ht="18" customHeight="1" x14ac:dyDescent="0.25">
      <c r="A15" s="26" t="s">
        <v>161</v>
      </c>
      <c r="B15" s="26" t="s">
        <v>162</v>
      </c>
    </row>
    <row r="16" spans="1:2" ht="18" customHeight="1" x14ac:dyDescent="0.25">
      <c r="A16" s="26" t="s">
        <v>163</v>
      </c>
      <c r="B16" s="26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SPAN_Portfolio</vt:lpstr>
      <vt:lpstr>SPAN_Concept_Map</vt:lpstr>
      <vt:lpstr>Instrument_Notes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Manav Trivedi</cp:lastModifiedBy>
  <cp:revision>0</cp:revision>
  <dcterms:created xsi:type="dcterms:W3CDTF">2026-04-20T08:25:25Z</dcterms:created>
  <dcterms:modified xsi:type="dcterms:W3CDTF">2026-04-20T09:11:33Z</dcterms:modified>
  <dc:language>en-US</dc:language>
</cp:coreProperties>
</file>