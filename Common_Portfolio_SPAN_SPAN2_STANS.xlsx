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_Portfolio" sheetId="1" r:id="rId5"/>
    <sheet state="visible" name="SPAN_Framework" sheetId="2" r:id="rId6"/>
    <sheet state="visible" name="SPAN2_Framework" sheetId="3" r:id="rId7"/>
    <sheet state="visible" name="STANS_Framework" sheetId="4" r:id="rId8"/>
    <sheet state="visible" name="Framework_Comparison" sheetId="5" r:id="rId9"/>
    <sheet state="visible" name="Concept_Map" sheetId="6" r:id="rId10"/>
  </sheets>
  <definedNames/>
  <calcPr/>
</workbook>
</file>

<file path=xl/sharedStrings.xml><?xml version="1.0" encoding="utf-8"?>
<sst xmlns="http://schemas.openxmlformats.org/spreadsheetml/2006/main" count="1006" uniqueCount="342">
  <si>
    <t>COMMON PORTFOLIO – SPAN / SPAN-2 / STANS  |  MCX Commodity Derivatives</t>
  </si>
  <si>
    <t>Row #</t>
  </si>
  <si>
    <t>Commodity</t>
  </si>
  <si>
    <t>CC Group</t>
  </si>
  <si>
    <t>Instrument
Type</t>
  </si>
  <si>
    <t>Buy/Sell</t>
  </si>
  <si>
    <t>Qty
(Lots)</t>
  </si>
  <si>
    <t>Contract
Month</t>
  </si>
  <si>
    <t>Futures Price
(₹/Qtl)</t>
  </si>
  <si>
    <t>Option Premium
(₹)</t>
  </si>
  <si>
    <t>Strike Price
(₹)</t>
  </si>
  <si>
    <t>Option
Type</t>
  </si>
  <si>
    <t>Implied Vol
(%)</t>
  </si>
  <si>
    <t>Lot Size
(MT)</t>
  </si>
  <si>
    <t>Contract Value
(₹)</t>
  </si>
  <si>
    <t>Approx
Delta</t>
  </si>
  <si>
    <t>Position Tag</t>
  </si>
  <si>
    <t>SPAN
Component</t>
  </si>
  <si>
    <t>Framework
Relevance</t>
  </si>
  <si>
    <t>Turmeric</t>
  </si>
  <si>
    <t>Spices</t>
  </si>
  <si>
    <t>Future</t>
  </si>
  <si>
    <t>Buy</t>
  </si>
  <si>
    <t>Apr-26</t>
  </si>
  <si>
    <t>Directional Long Future</t>
  </si>
  <si>
    <t>PSR</t>
  </si>
  <si>
    <t>SPAN / SPAN-2 / STANS</t>
  </si>
  <si>
    <t>Coriander</t>
  </si>
  <si>
    <t>Jeera</t>
  </si>
  <si>
    <t>Guar Gum</t>
  </si>
  <si>
    <t>Guar</t>
  </si>
  <si>
    <t>PSR + Inter-CC Spread</t>
  </si>
  <si>
    <t>Guar Seed</t>
  </si>
  <si>
    <t>PSR + Inter-CC Spread (Guar pair)</t>
  </si>
  <si>
    <t>Castor Seed</t>
  </si>
  <si>
    <t>Castor</t>
  </si>
  <si>
    <t>Cotton Seed OC</t>
  </si>
  <si>
    <t>Cotton</t>
  </si>
  <si>
    <t>PSR + Inter-CC Spread (Cotton pair)</t>
  </si>
  <si>
    <t>Kapas (Cotton)</t>
  </si>
  <si>
    <t>Jun-26</t>
  </si>
  <si>
    <t>Calendar Spread – Near Leg (Long)</t>
  </si>
  <si>
    <t>ICSC</t>
  </si>
  <si>
    <t>Sell</t>
  </si>
  <si>
    <t>Calendar Spread – Far Leg (Short)</t>
  </si>
  <si>
    <t>Option</t>
  </si>
  <si>
    <t>Call</t>
  </si>
  <si>
    <t>ATM Call – Long (Buyer)</t>
  </si>
  <si>
    <t>VSR + NOV</t>
  </si>
  <si>
    <t>OTM Call – Short (Seller)</t>
  </si>
  <si>
    <t>VSR + NOV + SOM check</t>
  </si>
  <si>
    <t>Put</t>
  </si>
  <si>
    <t>Near-ATM Put – Long (Buyer)</t>
  </si>
  <si>
    <t>Near-ATM Put – Short (Seller)</t>
  </si>
  <si>
    <t>Near-ATM Call – Long (Buyer)</t>
  </si>
  <si>
    <t>Near-ATM Call – Short (Seller)</t>
  </si>
  <si>
    <t>Deep OTM Call – Short [SOM TRIGGER]</t>
  </si>
  <si>
    <t>SOM (Primary)</t>
  </si>
  <si>
    <t>Deep OTM Put – Short [SOM TRIGGER]</t>
  </si>
  <si>
    <t>Cross-CC Partial Hedge (Spices)</t>
  </si>
  <si>
    <t>Inter-CC Spread (SPAN-2 enhanced)</t>
  </si>
  <si>
    <t>SPAN-2 / STANS</t>
  </si>
  <si>
    <t>Deep ITM Call – Long (STANS path test)</t>
  </si>
  <si>
    <t>Full-Simulation Delta / Gamma</t>
  </si>
  <si>
    <t>STANS</t>
  </si>
  <si>
    <t>Colour Legend</t>
  </si>
  <si>
    <t>Light Blue = Standard Futures (All Frameworks)</t>
  </si>
  <si>
    <t>Light Yellow = Calendar Spread Legs (ICSC)</t>
  </si>
  <si>
    <t>Light Green = Options ATM/Near-ATM (VSR/NOV/SOM)</t>
  </si>
  <si>
    <t>Light Orange = Deep OTM Short Options (SOM Primary)</t>
  </si>
  <si>
    <t>Light Purple = SPAN-2 Enhanced / Cross-CC Spread</t>
  </si>
  <si>
    <t>Powder Blue = STANS Specific (Full-Sim Path Test)</t>
  </si>
  <si>
    <t>SPAN FRAMEWORK MAPPING  –  16-Scenario Grid (CME SPAN v4)</t>
  </si>
  <si>
    <t>Inst Type</t>
  </si>
  <si>
    <t>B/S</t>
  </si>
  <si>
    <t>Qty</t>
  </si>
  <si>
    <t>SPAN Component</t>
  </si>
  <si>
    <t>Scan Array
(Scenarios)</t>
  </si>
  <si>
    <t>Delta
(Signed)</t>
  </si>
  <si>
    <t>Approx Margin
Contrib (₹)</t>
  </si>
  <si>
    <t>Notes</t>
  </si>
  <si>
    <t>PSR – Price Scan Risk</t>
  </si>
  <si>
    <t>16 (±3%/±1%/±0.3% × ±vol)</t>
  </si>
  <si>
    <t>~80,500</t>
  </si>
  <si>
    <t>Worst of 16 scenarios; PSR dominates for directional futures</t>
  </si>
  <si>
    <t>16</t>
  </si>
  <si>
    <t>~1,33,500</t>
  </si>
  <si>
    <t>~1,34,100</t>
  </si>
  <si>
    <t>PSR + Inter-CC Spread Credit</t>
  </si>
  <si>
    <t>~1,07,560</t>
  </si>
  <si>
    <t>Offset with Guar Seed row 5 within Guar CC</t>
  </si>
  <si>
    <t>~1,14,300</t>
  </si>
  <si>
    <t>Guar pair credit applied</t>
  </si>
  <si>
    <t>~1,27,840</t>
  </si>
  <si>
    <t>No inter-CC pair in SPAN</t>
  </si>
  <si>
    <t>~71,340</t>
  </si>
  <si>
    <t>Offset with Kapas row 8</t>
  </si>
  <si>
    <t>Kapas</t>
  </si>
  <si>
    <t>~47,096</t>
  </si>
  <si>
    <t>Cotton pair credit</t>
  </si>
  <si>
    <t>ICSC – Intra-CC Spread Charge</t>
  </si>
  <si>
    <t>16 (residual basis risk)</t>
  </si>
  <si>
    <t>~16,100</t>
  </si>
  <si>
    <t>Long Jun / Short Apr after delta netting</t>
  </si>
  <si>
    <t>Short Apr leg</t>
  </si>
  <si>
    <t>~11,500</t>
  </si>
  <si>
    <t>16 × ±vol</t>
  </si>
  <si>
    <t>~46,200</t>
  </si>
  <si>
    <t>ATM Call; long option =&gt; VSR + NOV credit</t>
  </si>
  <si>
    <t>~79,200</t>
  </si>
  <si>
    <t>Short OTM Call; SOM floor evaluated</t>
  </si>
  <si>
    <t>~30,000</t>
  </si>
  <si>
    <t>~24,000</t>
  </si>
  <si>
    <t>~75,000</t>
  </si>
  <si>
    <t>~60,000</t>
  </si>
  <si>
    <t>~9,600</t>
  </si>
  <si>
    <t>~7,800</t>
  </si>
  <si>
    <t>SOM – Short Option Minimum</t>
  </si>
  <si>
    <t>16 (near-zero scan risk)</t>
  </si>
  <si>
    <t>~7,650</t>
  </si>
  <si>
    <t>Deep OTM; SOM floor = min(X% × underlying)</t>
  </si>
  <si>
    <t>~5,715</t>
  </si>
  <si>
    <t>Classic SOM trigger</t>
  </si>
  <si>
    <t>PSR (no inter-CC credit in SPAN)</t>
  </si>
  <si>
    <t>~66,750</t>
  </si>
  <si>
    <t>Row 23: SPAN treats as standalone; no enhanced cross-CC spread</t>
  </si>
  <si>
    <t>VSR + NOV (deep ITM)</t>
  </si>
  <si>
    <t>~1,05,000</t>
  </si>
  <si>
    <t>Row 24: SPAN prices with B-S; gamma/higher-order risk limited</t>
  </si>
  <si>
    <t>SPAN-2 FRAMEWORK MAPPING  –  Expanded Scenario Array + Enhanced Cross-Margining</t>
  </si>
  <si>
    <t>SPAN-2 Component</t>
  </si>
  <si>
    <t>Scenario Array
(Expanded)</t>
  </si>
  <si>
    <t>SPAN-2 Enhancement Notes</t>
  </si>
  <si>
    <t>PSR (expanded array)</t>
  </si>
  <si>
    <t>Expanded (&gt;16 vol-surface nodes)</t>
  </si>
  <si>
    <t>~76,500</t>
  </si>
  <si>
    <t>SPAN-2 uses richer vol-surface; PSR typically 3-5% lower vs SPAN</t>
  </si>
  <si>
    <t>Expanded</t>
  </si>
  <si>
    <t>~1,27,000</t>
  </si>
  <si>
    <t>~1,27,500</t>
  </si>
  <si>
    <t>PSR + Enhanced Inter-CC</t>
  </si>
  <si>
    <t>~1,02,100</t>
  </si>
  <si>
    <t>Enhanced cross-margining via correlation matrix</t>
  </si>
  <si>
    <t>~1,08,600</t>
  </si>
  <si>
    <t>~1,21,400</t>
  </si>
  <si>
    <t>~67,800</t>
  </si>
  <si>
    <t>~44,700</t>
  </si>
  <si>
    <t>ICSC (term-structure aware)</t>
  </si>
  <si>
    <t>Expanded (term-structure nodes)</t>
  </si>
  <si>
    <t>~14,500</t>
  </si>
  <si>
    <t>SPAN-2 calibrates spread charge to forward curve shape</t>
  </si>
  <si>
    <t>~10,300</t>
  </si>
  <si>
    <t>VSR + NOV (vol-surface)</t>
  </si>
  <si>
    <t>Full vol-surface scenarios</t>
  </si>
  <si>
    <t>~43,400</t>
  </si>
  <si>
    <t>SPAN-2 re-prices options along full vol surface (skew + term)</t>
  </si>
  <si>
    <t>VSR + NOV + SOM</t>
  </si>
  <si>
    <t>~74,800</t>
  </si>
  <si>
    <t>Full vol-surface</t>
  </si>
  <si>
    <t>~28,200</t>
  </si>
  <si>
    <t>~22,600</t>
  </si>
  <si>
    <t>~70,800</t>
  </si>
  <si>
    <t>~56,600</t>
  </si>
  <si>
    <t>~9,000</t>
  </si>
  <si>
    <t>~7,300</t>
  </si>
  <si>
    <t>SOM (refined floor)</t>
  </si>
  <si>
    <t>Near-zero scan risk + SOM</t>
  </si>
  <si>
    <t>~7,150</t>
  </si>
  <si>
    <t>SPAN-2 SOM floor can differ slightly from SPAN; recalibrated</t>
  </si>
  <si>
    <t>~5,400</t>
  </si>
  <si>
    <t>PSR + Enhanced Cross-CC Credit</t>
  </si>
  <si>
    <t>~56,200</t>
  </si>
  <si>
    <t>★ KEY DIFFERENCE: SPAN-2 grants cross-CC offset credit for correlated Spices</t>
  </si>
  <si>
    <t>VSR + NOV + Gamma Scan</t>
  </si>
  <si>
    <t>Full vol-surface + gamma nodes</t>
  </si>
  <si>
    <t>~98,000</t>
  </si>
  <si>
    <t>★ SPAN-2 captures gamma effect for deep ITM options more accurately</t>
  </si>
  <si>
    <t>STANS FRAMEWORK MAPPING  –  Monte Carlo / Historical Simulation (OCC STANS Model)</t>
  </si>
  <si>
    <t>STANS Component</t>
  </si>
  <si>
    <t>Simulation
Approach</t>
  </si>
  <si>
    <t>STANS-Specific Notes</t>
  </si>
  <si>
    <t>Full-Simulation Loss (99% CVaR)</t>
  </si>
  <si>
    <t>10,000 MC + 500 HS scenarios</t>
  </si>
  <si>
    <t>~72,000</t>
  </si>
  <si>
    <t>STANS uses 99% CVaR vs SPAN worst-scenario; may be lower for normal distributions</t>
  </si>
  <si>
    <t>10,000 MC + 500 HS</t>
  </si>
  <si>
    <t>~1,20,000</t>
  </si>
  <si>
    <t>Cross-commodity correlation captured</t>
  </si>
  <si>
    <t>CVaR + Full Correlation Matrix</t>
  </si>
  <si>
    <t>Correlated joint simulation</t>
  </si>
  <si>
    <t>~96,800</t>
  </si>
  <si>
    <t>STANS accounts for Guar Gum–Guar Seed correlation in joint scenarios</t>
  </si>
  <si>
    <t>~1,02,900</t>
  </si>
  <si>
    <t>~1,15,100</t>
  </si>
  <si>
    <t>~64,200</t>
  </si>
  <si>
    <t>~42,400</t>
  </si>
  <si>
    <t>Calendar Spread – CVaR on basis</t>
  </si>
  <si>
    <t>Joint simulation of two legs</t>
  </si>
  <si>
    <t>~12,800</t>
  </si>
  <si>
    <t>STANS simulates both legs jointly; basis risk from stochastic spread</t>
  </si>
  <si>
    <t>Joint simulation</t>
  </si>
  <si>
    <t>~9,100</t>
  </si>
  <si>
    <t>Full Revaluation (MC sim)</t>
  </si>
  <si>
    <t>Full path revaluation</t>
  </si>
  <si>
    <t>~40,800</t>
  </si>
  <si>
    <t>★ STANS fully revalues options across all MC paths; captures skew &amp; smile</t>
  </si>
  <si>
    <t>Full Revaluation + CVaR</t>
  </si>
  <si>
    <t>~70,200</t>
  </si>
  <si>
    <t>~26,500</t>
  </si>
  <si>
    <t>~21,200</t>
  </si>
  <si>
    <t>~66,500</t>
  </si>
  <si>
    <t>~53,200</t>
  </si>
  <si>
    <t>~8,500</t>
  </si>
  <si>
    <t>~6,900</t>
  </si>
  <si>
    <t>CVaR (low-prob tail events)</t>
  </si>
  <si>
    <t>Full path – tail paths dominate</t>
  </si>
  <si>
    <t>~6,500</t>
  </si>
  <si>
    <t>★ STANS: deep OTM short options show lower margin if tail paths confirm low prob</t>
  </si>
  <si>
    <t>~5,100</t>
  </si>
  <si>
    <t>CVaR + Correlated CC Offset</t>
  </si>
  <si>
    <t>~48,000</t>
  </si>
  <si>
    <t>★ STANS: highest cross-CC benefit — full correlation matrix reduces net CVaR</t>
  </si>
  <si>
    <t>Full Revaluation – Deep ITM</t>
  </si>
  <si>
    <t>Full revaluation across paths</t>
  </si>
  <si>
    <t>~89,000</t>
  </si>
  <si>
    <t>★ STANS most accurate for deep ITM: full revaluation captures intrinsic + time value exactly</t>
  </si>
  <si>
    <t>FRAMEWORK COMPARISON SUMMARY  –  SPAN vs SPAN-2 vs STANS</t>
  </si>
  <si>
    <t>A. Estimated Margin Contribution by Position (₹)</t>
  </si>
  <si>
    <t>SPAN (₹)</t>
  </si>
  <si>
    <t>SPAN-2 (₹)</t>
  </si>
  <si>
    <t>STANS (₹)</t>
  </si>
  <si>
    <t>Turmeric Cal</t>
  </si>
  <si>
    <t>Guar Seed Cal</t>
  </si>
  <si>
    <t>TOTAL (Gross, ₹)</t>
  </si>
  <si>
    <t>B. Feature Comparison: SPAN vs SPAN-2 vs STANS</t>
  </si>
  <si>
    <t>Feature</t>
  </si>
  <si>
    <t>SPAN</t>
  </si>
  <si>
    <t>SPAN-2</t>
  </si>
  <si>
    <t>Key Implication for This Portfolio</t>
  </si>
  <si>
    <t>Risk Methodology</t>
  </si>
  <si>
    <t>16-scenario grid</t>
  </si>
  <si>
    <t>Expanded scenario array
(vol-surface nodes)</t>
  </si>
  <si>
    <t>Monte Carlo + Historical
Simulation (10k+ paths)</t>
  </si>
  <si>
    <t>STANS gives most accurate tail risk; SPAN is conservative grid</t>
  </si>
  <si>
    <t>Options Pricing</t>
  </si>
  <si>
    <t>Black-Scholes (flat vol)</t>
  </si>
  <si>
    <t>Vol-surface (skew &amp; term)</t>
  </si>
  <si>
    <t>Full revaluation every path</t>
  </si>
  <si>
    <t>Deep ITM (row 24) margin lowest in STANS; most accurate</t>
  </si>
  <si>
    <t>Calendar Spread</t>
  </si>
  <si>
    <t>Fixed ICSC charge</t>
  </si>
  <si>
    <t>Term-structure calibrated
ICSC</t>
  </si>
  <si>
    <t>Stochastic basis from joint
simulation</t>
  </si>
  <si>
    <t>STANS typically lowest spread charge (rows 9-12)</t>
  </si>
  <si>
    <t>Inter-CC Spreading</t>
  </si>
  <si>
    <t>Fixed credit table</t>
  </si>
  <si>
    <t>Correlation-matrix based
enhanced credit</t>
  </si>
  <si>
    <t>Full joint simulation
of CC portfolio</t>
  </si>
  <si>
    <t>Largest offset credit in STANS; row 23 shows ~28% lower vs SPAN</t>
  </si>
  <si>
    <t>Short Option Minimum</t>
  </si>
  <si>
    <t>Fixed % floor (SOM)</t>
  </si>
  <si>
    <t>Recalibrated SOM floor</t>
  </si>
  <si>
    <t>CVaR replaces SOM;
tail scenario covers floor</t>
  </si>
  <si>
    <t>STANS slightly lower SOM equivalent (rows 21-22)</t>
  </si>
  <si>
    <t>Cross-portfolio netting</t>
  </si>
  <si>
    <t>Within CC only</t>
  </si>
  <si>
    <t>Enhanced cross-CC +
cross-margin groups</t>
  </si>
  <si>
    <t>Full portfolio netting
via covariance</t>
  </si>
  <si>
    <t>STANS produces lowest gross total (₹1,219,600) vs SPAN (₹1,388,351)</t>
  </si>
  <si>
    <t>Computational load</t>
  </si>
  <si>
    <t>Low (16 scenarios)</t>
  </si>
  <si>
    <t>Medium (100s of nodes)</t>
  </si>
  <si>
    <t>High (10k+ simulations)</t>
  </si>
  <si>
    <t>SPAN fastest; STANS most accurate but computationally intensive</t>
  </si>
  <si>
    <t>Used by</t>
  </si>
  <si>
    <t>MCX, NCDEX, NSE (commodity)</t>
  </si>
  <si>
    <t>CME Group (global)</t>
  </si>
  <si>
    <t>OCC (US listed options)</t>
  </si>
  <si>
    <t>Indian exchanges primarily use SPAN today</t>
  </si>
  <si>
    <t>CONCEPT MAP  –  Risk Component Coverage Across Frameworks</t>
  </si>
  <si>
    <t>Portfolio Element</t>
  </si>
  <si>
    <t>Rows</t>
  </si>
  <si>
    <t>Risk Component</t>
  </si>
  <si>
    <t>8 Directional Long Futures</t>
  </si>
  <si>
    <t>1–8</t>
  </si>
  <si>
    <t>Price Scan Risk (PSR)</t>
  </si>
  <si>
    <t>✔ 16 grid</t>
  </si>
  <si>
    <t>✔ Expanded array</t>
  </si>
  <si>
    <t>✔ CVaR full-sim</t>
  </si>
  <si>
    <t>Turmeric Calendar Spread</t>
  </si>
  <si>
    <t>9–10</t>
  </si>
  <si>
    <t>Intra-CC Spread Charge (ICSC)</t>
  </si>
  <si>
    <t>✔ Fixed charge</t>
  </si>
  <si>
    <t>✔ Term-struct calibrated</t>
  </si>
  <si>
    <t>✔ Stochastic basis</t>
  </si>
  <si>
    <t>Guar Seed Calendar Spread</t>
  </si>
  <si>
    <t>11–12</t>
  </si>
  <si>
    <t>ATM / Near-ATM Long Options</t>
  </si>
  <si>
    <t>13,15,17,19</t>
  </si>
  <si>
    <t>Volatility Scan Risk (VSR)</t>
  </si>
  <si>
    <t>✔ Flat vol B-S</t>
  </si>
  <si>
    <t>✔ Vol surface</t>
  </si>
  <si>
    <t>✔ Full revaluation</t>
  </si>
  <si>
    <t>ATM / Near-ATM Short Options</t>
  </si>
  <si>
    <t>14,16,18,20</t>
  </si>
  <si>
    <t>Net Option Value (NOV)</t>
  </si>
  <si>
    <t>✔ Premium debit</t>
  </si>
  <si>
    <t>✔ P&amp;L via simulation</t>
  </si>
  <si>
    <t>All Short Options</t>
  </si>
  <si>
    <t>14,16,18,20,21,22</t>
  </si>
  <si>
    <t>Short Option Minimum (SOM)</t>
  </si>
  <si>
    <t>✔ % floor</t>
  </si>
  <si>
    <t>✔ Recalibrated floor</t>
  </si>
  <si>
    <t>✔ CVaR replaces SOM</t>
  </si>
  <si>
    <t>Deep OTM Short Call – Jeera</t>
  </si>
  <si>
    <t>21</t>
  </si>
  <si>
    <t>SOM Primary Trigger</t>
  </si>
  <si>
    <t>✔ Classic SOM</t>
  </si>
  <si>
    <t>✔ Adjusted SOM</t>
  </si>
  <si>
    <t>✔ Low-tail CVaR</t>
  </si>
  <si>
    <t>Deep OTM Short Put – Guar Seed</t>
  </si>
  <si>
    <t>22</t>
  </si>
  <si>
    <t>Guar Gum ↔ Guar Seed Pair</t>
  </si>
  <si>
    <t>4,5,11,12</t>
  </si>
  <si>
    <t>Inter-CC Spread Credit</t>
  </si>
  <si>
    <t>✔ Fixed table</t>
  </si>
  <si>
    <t>✔ Correlation matrix</t>
  </si>
  <si>
    <t>✔ Full joint sim</t>
  </si>
  <si>
    <t>Kapas ↔ Cotton Seed OC Pair</t>
  </si>
  <si>
    <t>7,8,19,20</t>
  </si>
  <si>
    <t>Coriander Cross-CC Hedge</t>
  </si>
  <si>
    <t>23</t>
  </si>
  <si>
    <t>Cross-CC Offset (NEW)</t>
  </si>
  <si>
    <t>✗ No credit</t>
  </si>
  <si>
    <t>✔ Enhanced cross-CC</t>
  </si>
  <si>
    <t>✔ Full correlation</t>
  </si>
  <si>
    <t>Deep ITM Call – Guar Gum</t>
  </si>
  <si>
    <t>24</t>
  </si>
  <si>
    <t>Gamma / Full Revaluation (NEW)</t>
  </si>
  <si>
    <t>⚠ Limited (B-S only)</t>
  </si>
  <si>
    <t>✔ Gamma nodes added</t>
  </si>
  <si>
    <t>✔ Full path revaluation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</si>
</sst>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#,##0"/>
    <numFmt numFmtId="165" formatCode="0\%"/>
  </numFmts>
  <fonts count="10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9.0"/>
      <color rgb="FFFFFFFF"/>
      <name val="Calibri"/>
    </font>
    <font>
      <sz val="10.0"/>
      <color theme="1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0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FFFACD"/>
        <bgColor rgb="FFFFFAC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8D5F5"/>
        <bgColor rgb="FFE8D5F5"/>
      </patternFill>
    </fill>
    <fill>
      <patternFill patternType="solid">
        <fgColor rgb="FFD0E8FF"/>
        <bgColor rgb="FFD0E8FF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833C00"/>
        <bgColor rgb="FF833C00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DAE8FC"/>
        <bgColor rgb="FFDAE8F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0F4FF"/>
        <bgColor rgb="FFF0F4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4" fontId="4" numFmtId="164" xfId="0" applyAlignment="1" applyBorder="1" applyFont="1" applyNumberForma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5" fontId="4" numFmtId="164" xfId="0" applyAlignment="1" applyBorder="1" applyFont="1" applyNumberForma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6" fontId="4" numFmtId="165" xfId="0" applyAlignment="1" applyBorder="1" applyFont="1" applyNumberFormat="1">
      <alignment horizontal="center" shrinkToFit="0" vertical="center" wrapText="1"/>
    </xf>
    <xf borderId="4" fillId="6" fontId="4" numFmtId="164" xfId="0" applyAlignment="1" applyBorder="1" applyFont="1" applyNumberForma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7" fontId="4" numFmtId="165" xfId="0" applyAlignment="1" applyBorder="1" applyFont="1" applyNumberFormat="1">
      <alignment horizontal="center" shrinkToFit="0" vertical="center" wrapText="1"/>
    </xf>
    <xf borderId="4" fillId="7" fontId="4" numFmtId="164" xfId="0" applyAlignment="1" applyBorder="1" applyFont="1" applyNumberForma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8" fontId="4" numFmtId="164" xfId="0" applyAlignment="1" applyBorder="1" applyFont="1" applyNumberForma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9" fontId="4" numFmtId="165" xfId="0" applyAlignment="1" applyBorder="1" applyFont="1" applyNumberFormat="1">
      <alignment horizontal="center" shrinkToFit="0" vertical="center" wrapText="1"/>
    </xf>
    <xf borderId="4" fillId="9" fontId="4" numFmtId="164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/>
    </xf>
    <xf borderId="1" fillId="4" fontId="6" numFmtId="0" xfId="0" applyBorder="1" applyFont="1"/>
    <xf borderId="0" fillId="0" fontId="4" numFmtId="0" xfId="0" applyAlignment="1" applyFont="1">
      <alignment horizontal="left" vertical="center"/>
    </xf>
    <xf borderId="1" fillId="5" fontId="6" numFmtId="0" xfId="0" applyBorder="1" applyFont="1"/>
    <xf borderId="1" fillId="6" fontId="6" numFmtId="0" xfId="0" applyBorder="1" applyFont="1"/>
    <xf borderId="1" fillId="7" fontId="6" numFmtId="0" xfId="0" applyBorder="1" applyFont="1"/>
    <xf borderId="1" fillId="8" fontId="6" numFmtId="0" xfId="0" applyBorder="1" applyFont="1"/>
    <xf borderId="1" fillId="9" fontId="6" numFmtId="0" xfId="0" applyBorder="1" applyFont="1"/>
    <xf borderId="1" fillId="10" fontId="7" numFmtId="0" xfId="0" applyAlignment="1" applyBorder="1" applyFill="1" applyFont="1">
      <alignment horizontal="center" vertical="center"/>
    </xf>
    <xf borderId="4" fillId="10" fontId="3" numFmtId="0" xfId="0" applyAlignment="1" applyBorder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vertical="center"/>
    </xf>
    <xf borderId="4" fillId="11" fontId="3" numFmtId="0" xfId="0" applyAlignment="1" applyBorder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vertical="center"/>
    </xf>
    <xf borderId="4" fillId="12" fontId="3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vertical="center"/>
    </xf>
    <xf borderId="1" fillId="14" fontId="8" numFmtId="0" xfId="0" applyAlignment="1" applyBorder="1" applyFill="1" applyFont="1">
      <alignment horizontal="left" vertical="center"/>
    </xf>
    <xf borderId="4" fillId="13" fontId="3" numFmtId="0" xfId="0" applyAlignment="1" applyBorder="1" applyFont="1">
      <alignment horizontal="center" shrinkToFit="0" vertical="center" wrapText="1"/>
    </xf>
    <xf borderId="4" fillId="15" fontId="9" numFmtId="0" xfId="0" applyAlignment="1" applyBorder="1" applyFill="1" applyFont="1">
      <alignment horizontal="center" vertical="center"/>
    </xf>
    <xf borderId="4" fillId="15" fontId="9" numFmtId="0" xfId="0" applyAlignment="1" applyBorder="1" applyFont="1">
      <alignment horizontal="left" vertical="center"/>
    </xf>
    <xf borderId="4" fillId="15" fontId="9" numFmtId="164" xfId="0" applyAlignment="1" applyBorder="1" applyFont="1" applyNumberFormat="1">
      <alignment horizontal="center" vertical="center"/>
    </xf>
    <xf borderId="1" fillId="16" fontId="8" numFmtId="0" xfId="0" applyAlignment="1" applyBorder="1" applyFill="1" applyFont="1">
      <alignment horizontal="left" vertical="center"/>
    </xf>
    <xf borderId="4" fillId="17" fontId="4" numFmtId="0" xfId="0" applyAlignment="1" applyBorder="1" applyFill="1" applyFont="1">
      <alignment horizontal="left" shrinkToFit="0" vertical="center" wrapText="1"/>
    </xf>
    <xf borderId="4" fillId="18" fontId="4" numFmtId="0" xfId="0" applyAlignment="1" applyBorder="1" applyFill="1" applyFont="1">
      <alignment horizontal="left" shrinkToFit="0" vertical="center" wrapText="1"/>
    </xf>
    <xf borderId="1" fillId="2" fontId="7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shrinkToFit="0" vertical="center" wrapText="1"/>
    </xf>
    <xf borderId="4" fillId="17" fontId="4" numFmtId="0" xfId="0" applyAlignment="1" applyBorder="1" applyFont="1">
      <alignment horizontal="center" shrinkToFit="0" vertical="center" wrapText="1"/>
    </xf>
    <xf borderId="4" fillId="19" fontId="4" numFmtId="0" xfId="0" applyAlignment="1" applyBorder="1" applyFill="1" applyFont="1">
      <alignment horizontal="left" shrinkToFit="0" vertical="center" wrapText="1"/>
    </xf>
    <xf borderId="4" fillId="19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8.0"/>
    <col customWidth="1" min="4" max="4" width="9.0"/>
    <col customWidth="1" min="5" max="5" width="7.0"/>
    <col customWidth="1" min="6" max="6" width="6.0"/>
    <col customWidth="1" min="7" max="7" width="8.0"/>
    <col customWidth="1" min="8" max="9" width="12.0"/>
    <col customWidth="1" min="10" max="10" width="10.0"/>
    <col customWidth="1" min="11" max="13" width="7.0"/>
    <col customWidth="1" min="14" max="14" width="14.0"/>
    <col customWidth="1" min="15" max="15" width="8.0"/>
    <col customWidth="1" min="16" max="17" width="28.0"/>
    <col customWidth="1" min="18" max="18" width="22.0"/>
    <col customWidth="1" min="1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ht="27.75" customHeight="1">
      <c r="A3" s="5">
        <v>1.0</v>
      </c>
      <c r="B3" s="6" t="s">
        <v>19</v>
      </c>
      <c r="C3" s="5" t="s">
        <v>20</v>
      </c>
      <c r="D3" s="5" t="s">
        <v>21</v>
      </c>
      <c r="E3" s="5" t="s">
        <v>22</v>
      </c>
      <c r="F3" s="5">
        <v>1.0</v>
      </c>
      <c r="G3" s="5" t="s">
        <v>23</v>
      </c>
      <c r="H3" s="5">
        <v>16220.0</v>
      </c>
      <c r="I3" s="5"/>
      <c r="J3" s="5"/>
      <c r="K3" s="5"/>
      <c r="L3" s="5"/>
      <c r="M3" s="5">
        <v>5.0</v>
      </c>
      <c r="N3" s="7">
        <f t="shared" ref="N3:N14" si="1">H3*M3*100</f>
        <v>8110000</v>
      </c>
      <c r="O3" s="5">
        <v>0.95</v>
      </c>
      <c r="P3" s="6" t="s">
        <v>24</v>
      </c>
      <c r="Q3" s="6" t="s">
        <v>25</v>
      </c>
      <c r="R3" s="6" t="s">
        <v>26</v>
      </c>
    </row>
    <row r="4" ht="27.75" customHeight="1">
      <c r="A4" s="5">
        <v>2.0</v>
      </c>
      <c r="B4" s="6" t="s">
        <v>27</v>
      </c>
      <c r="C4" s="5" t="s">
        <v>20</v>
      </c>
      <c r="D4" s="5" t="s">
        <v>21</v>
      </c>
      <c r="E4" s="5" t="s">
        <v>22</v>
      </c>
      <c r="F4" s="5">
        <v>2.0</v>
      </c>
      <c r="G4" s="5" t="s">
        <v>23</v>
      </c>
      <c r="H4" s="5">
        <v>13350.0</v>
      </c>
      <c r="I4" s="5"/>
      <c r="J4" s="5"/>
      <c r="K4" s="5"/>
      <c r="L4" s="5"/>
      <c r="M4" s="5">
        <v>5.0</v>
      </c>
      <c r="N4" s="7">
        <f t="shared" si="1"/>
        <v>6675000</v>
      </c>
      <c r="O4" s="5">
        <v>0.95</v>
      </c>
      <c r="P4" s="6" t="s">
        <v>24</v>
      </c>
      <c r="Q4" s="6" t="s">
        <v>25</v>
      </c>
      <c r="R4" s="6" t="s">
        <v>26</v>
      </c>
    </row>
    <row r="5" ht="27.75" customHeight="1">
      <c r="A5" s="5">
        <v>3.0</v>
      </c>
      <c r="B5" s="6" t="s">
        <v>28</v>
      </c>
      <c r="C5" s="5" t="s">
        <v>20</v>
      </c>
      <c r="D5" s="5" t="s">
        <v>21</v>
      </c>
      <c r="E5" s="5" t="s">
        <v>22</v>
      </c>
      <c r="F5" s="5">
        <v>2.0</v>
      </c>
      <c r="G5" s="5" t="s">
        <v>23</v>
      </c>
      <c r="H5" s="5">
        <v>22285.0</v>
      </c>
      <c r="I5" s="5"/>
      <c r="J5" s="5"/>
      <c r="K5" s="5"/>
      <c r="L5" s="5"/>
      <c r="M5" s="5">
        <v>3.0</v>
      </c>
      <c r="N5" s="7">
        <f t="shared" si="1"/>
        <v>6685500</v>
      </c>
      <c r="O5" s="5">
        <v>0.95</v>
      </c>
      <c r="P5" s="6" t="s">
        <v>24</v>
      </c>
      <c r="Q5" s="6" t="s">
        <v>25</v>
      </c>
      <c r="R5" s="6" t="s">
        <v>26</v>
      </c>
    </row>
    <row r="6" ht="27.75" customHeight="1">
      <c r="A6" s="5">
        <v>4.0</v>
      </c>
      <c r="B6" s="6" t="s">
        <v>29</v>
      </c>
      <c r="C6" s="5" t="s">
        <v>30</v>
      </c>
      <c r="D6" s="5" t="s">
        <v>21</v>
      </c>
      <c r="E6" s="5" t="s">
        <v>22</v>
      </c>
      <c r="F6" s="5">
        <v>2.0</v>
      </c>
      <c r="G6" s="5" t="s">
        <v>23</v>
      </c>
      <c r="H6" s="5">
        <v>10756.0</v>
      </c>
      <c r="I6" s="5"/>
      <c r="J6" s="5"/>
      <c r="K6" s="5"/>
      <c r="L6" s="5"/>
      <c r="M6" s="5">
        <v>5.0</v>
      </c>
      <c r="N6" s="7">
        <f t="shared" si="1"/>
        <v>5378000</v>
      </c>
      <c r="O6" s="5">
        <v>0.95</v>
      </c>
      <c r="P6" s="6" t="s">
        <v>24</v>
      </c>
      <c r="Q6" s="6" t="s">
        <v>31</v>
      </c>
      <c r="R6" s="6" t="s">
        <v>26</v>
      </c>
    </row>
    <row r="7" ht="27.75" customHeight="1">
      <c r="A7" s="5">
        <v>5.0</v>
      </c>
      <c r="B7" s="6" t="s">
        <v>32</v>
      </c>
      <c r="C7" s="5" t="s">
        <v>30</v>
      </c>
      <c r="D7" s="5" t="s">
        <v>21</v>
      </c>
      <c r="E7" s="5" t="s">
        <v>22</v>
      </c>
      <c r="F7" s="5">
        <v>4.0</v>
      </c>
      <c r="G7" s="5" t="s">
        <v>23</v>
      </c>
      <c r="H7" s="5">
        <v>5715.0</v>
      </c>
      <c r="I7" s="5"/>
      <c r="J7" s="5"/>
      <c r="K7" s="5"/>
      <c r="L7" s="5"/>
      <c r="M7" s="5">
        <v>5.0</v>
      </c>
      <c r="N7" s="7">
        <f t="shared" si="1"/>
        <v>2857500</v>
      </c>
      <c r="O7" s="5">
        <v>0.95</v>
      </c>
      <c r="P7" s="6" t="s">
        <v>24</v>
      </c>
      <c r="Q7" s="6" t="s">
        <v>33</v>
      </c>
      <c r="R7" s="6" t="s">
        <v>26</v>
      </c>
    </row>
    <row r="8" ht="27.75" customHeight="1">
      <c r="A8" s="5">
        <v>6.0</v>
      </c>
      <c r="B8" s="6" t="s">
        <v>34</v>
      </c>
      <c r="C8" s="5" t="s">
        <v>35</v>
      </c>
      <c r="D8" s="5" t="s">
        <v>21</v>
      </c>
      <c r="E8" s="5" t="s">
        <v>22</v>
      </c>
      <c r="F8" s="5">
        <v>4.0</v>
      </c>
      <c r="G8" s="5" t="s">
        <v>23</v>
      </c>
      <c r="H8" s="5">
        <v>6392.0</v>
      </c>
      <c r="I8" s="5"/>
      <c r="J8" s="5"/>
      <c r="K8" s="5"/>
      <c r="L8" s="5"/>
      <c r="M8" s="5">
        <v>5.0</v>
      </c>
      <c r="N8" s="7">
        <f t="shared" si="1"/>
        <v>3196000</v>
      </c>
      <c r="O8" s="5">
        <v>0.95</v>
      </c>
      <c r="P8" s="6" t="s">
        <v>24</v>
      </c>
      <c r="Q8" s="6" t="s">
        <v>25</v>
      </c>
      <c r="R8" s="6" t="s">
        <v>26</v>
      </c>
    </row>
    <row r="9" ht="27.75" customHeight="1">
      <c r="A9" s="5">
        <v>7.0</v>
      </c>
      <c r="B9" s="6" t="s">
        <v>36</v>
      </c>
      <c r="C9" s="5" t="s">
        <v>37</v>
      </c>
      <c r="D9" s="5" t="s">
        <v>21</v>
      </c>
      <c r="E9" s="5" t="s">
        <v>22</v>
      </c>
      <c r="F9" s="5">
        <v>2.0</v>
      </c>
      <c r="G9" s="5" t="s">
        <v>23</v>
      </c>
      <c r="H9" s="5">
        <v>3567.0</v>
      </c>
      <c r="I9" s="5"/>
      <c r="J9" s="5"/>
      <c r="K9" s="5"/>
      <c r="L9" s="5"/>
      <c r="M9" s="5">
        <v>10.0</v>
      </c>
      <c r="N9" s="7">
        <f t="shared" si="1"/>
        <v>3567000</v>
      </c>
      <c r="O9" s="5">
        <v>0.95</v>
      </c>
      <c r="P9" s="6" t="s">
        <v>24</v>
      </c>
      <c r="Q9" s="6" t="s">
        <v>38</v>
      </c>
      <c r="R9" s="6" t="s">
        <v>26</v>
      </c>
    </row>
    <row r="10" ht="27.75" customHeight="1">
      <c r="A10" s="5">
        <v>8.0</v>
      </c>
      <c r="B10" s="6" t="s">
        <v>39</v>
      </c>
      <c r="C10" s="5" t="s">
        <v>37</v>
      </c>
      <c r="D10" s="5" t="s">
        <v>21</v>
      </c>
      <c r="E10" s="5" t="s">
        <v>22</v>
      </c>
      <c r="F10" s="5">
        <v>7.0</v>
      </c>
      <c r="G10" s="5" t="s">
        <v>23</v>
      </c>
      <c r="H10" s="5">
        <v>1682.0</v>
      </c>
      <c r="I10" s="5"/>
      <c r="J10" s="5"/>
      <c r="K10" s="5"/>
      <c r="L10" s="5"/>
      <c r="M10" s="5">
        <v>4.0</v>
      </c>
      <c r="N10" s="7">
        <f t="shared" si="1"/>
        <v>672800</v>
      </c>
      <c r="O10" s="5">
        <v>0.95</v>
      </c>
      <c r="P10" s="6" t="s">
        <v>24</v>
      </c>
      <c r="Q10" s="6" t="s">
        <v>38</v>
      </c>
      <c r="R10" s="6" t="s">
        <v>26</v>
      </c>
    </row>
    <row r="11" ht="27.75" customHeight="1">
      <c r="A11" s="8">
        <v>9.0</v>
      </c>
      <c r="B11" s="9" t="s">
        <v>19</v>
      </c>
      <c r="C11" s="8" t="s">
        <v>20</v>
      </c>
      <c r="D11" s="8" t="s">
        <v>21</v>
      </c>
      <c r="E11" s="8" t="s">
        <v>22</v>
      </c>
      <c r="F11" s="8">
        <v>1.0</v>
      </c>
      <c r="G11" s="8" t="s">
        <v>40</v>
      </c>
      <c r="H11" s="8">
        <v>16450.0</v>
      </c>
      <c r="I11" s="8"/>
      <c r="J11" s="8"/>
      <c r="K11" s="8"/>
      <c r="L11" s="8"/>
      <c r="M11" s="8">
        <v>5.0</v>
      </c>
      <c r="N11" s="10">
        <f t="shared" si="1"/>
        <v>8225000</v>
      </c>
      <c r="O11" s="8">
        <v>0.95</v>
      </c>
      <c r="P11" s="9" t="s">
        <v>41</v>
      </c>
      <c r="Q11" s="9" t="s">
        <v>42</v>
      </c>
      <c r="R11" s="9" t="s">
        <v>26</v>
      </c>
    </row>
    <row r="12" ht="27.75" customHeight="1">
      <c r="A12" s="8">
        <v>10.0</v>
      </c>
      <c r="B12" s="9" t="s">
        <v>19</v>
      </c>
      <c r="C12" s="8" t="s">
        <v>20</v>
      </c>
      <c r="D12" s="8" t="s">
        <v>21</v>
      </c>
      <c r="E12" s="8" t="s">
        <v>43</v>
      </c>
      <c r="F12" s="8">
        <v>1.0</v>
      </c>
      <c r="G12" s="8" t="s">
        <v>23</v>
      </c>
      <c r="H12" s="8">
        <v>16220.0</v>
      </c>
      <c r="I12" s="8"/>
      <c r="J12" s="8"/>
      <c r="K12" s="8"/>
      <c r="L12" s="8"/>
      <c r="M12" s="8">
        <v>5.0</v>
      </c>
      <c r="N12" s="10">
        <f t="shared" si="1"/>
        <v>8110000</v>
      </c>
      <c r="O12" s="8">
        <v>-0.95</v>
      </c>
      <c r="P12" s="9" t="s">
        <v>44</v>
      </c>
      <c r="Q12" s="9" t="s">
        <v>42</v>
      </c>
      <c r="R12" s="9" t="s">
        <v>26</v>
      </c>
    </row>
    <row r="13" ht="27.75" customHeight="1">
      <c r="A13" s="8">
        <v>11.0</v>
      </c>
      <c r="B13" s="9" t="s">
        <v>32</v>
      </c>
      <c r="C13" s="8" t="s">
        <v>30</v>
      </c>
      <c r="D13" s="8" t="s">
        <v>21</v>
      </c>
      <c r="E13" s="8" t="s">
        <v>22</v>
      </c>
      <c r="F13" s="8">
        <v>2.0</v>
      </c>
      <c r="G13" s="8" t="s">
        <v>40</v>
      </c>
      <c r="H13" s="8">
        <v>5800.0</v>
      </c>
      <c r="I13" s="8"/>
      <c r="J13" s="8"/>
      <c r="K13" s="8"/>
      <c r="L13" s="8"/>
      <c r="M13" s="8">
        <v>5.0</v>
      </c>
      <c r="N13" s="10">
        <f t="shared" si="1"/>
        <v>2900000</v>
      </c>
      <c r="O13" s="8">
        <v>0.95</v>
      </c>
      <c r="P13" s="9" t="s">
        <v>41</v>
      </c>
      <c r="Q13" s="9" t="s">
        <v>42</v>
      </c>
      <c r="R13" s="9" t="s">
        <v>26</v>
      </c>
    </row>
    <row r="14" ht="27.75" customHeight="1">
      <c r="A14" s="8">
        <v>12.0</v>
      </c>
      <c r="B14" s="9" t="s">
        <v>32</v>
      </c>
      <c r="C14" s="8" t="s">
        <v>30</v>
      </c>
      <c r="D14" s="8" t="s">
        <v>21</v>
      </c>
      <c r="E14" s="8" t="s">
        <v>43</v>
      </c>
      <c r="F14" s="8">
        <v>2.0</v>
      </c>
      <c r="G14" s="8" t="s">
        <v>23</v>
      </c>
      <c r="H14" s="8">
        <v>5715.0</v>
      </c>
      <c r="I14" s="8"/>
      <c r="J14" s="8"/>
      <c r="K14" s="8"/>
      <c r="L14" s="8"/>
      <c r="M14" s="8">
        <v>5.0</v>
      </c>
      <c r="N14" s="10">
        <f t="shared" si="1"/>
        <v>2857500</v>
      </c>
      <c r="O14" s="8">
        <v>-0.95</v>
      </c>
      <c r="P14" s="9" t="s">
        <v>44</v>
      </c>
      <c r="Q14" s="9" t="s">
        <v>42</v>
      </c>
      <c r="R14" s="9" t="s">
        <v>26</v>
      </c>
    </row>
    <row r="15" ht="27.75" customHeight="1">
      <c r="A15" s="11">
        <v>13.0</v>
      </c>
      <c r="B15" s="12" t="s">
        <v>28</v>
      </c>
      <c r="C15" s="11" t="s">
        <v>20</v>
      </c>
      <c r="D15" s="11" t="s">
        <v>45</v>
      </c>
      <c r="E15" s="11" t="s">
        <v>22</v>
      </c>
      <c r="F15" s="11">
        <v>1.0</v>
      </c>
      <c r="G15" s="11" t="s">
        <v>23</v>
      </c>
      <c r="H15" s="11"/>
      <c r="I15" s="11">
        <v>1200.0</v>
      </c>
      <c r="J15" s="11">
        <v>22000.0</v>
      </c>
      <c r="K15" s="11" t="s">
        <v>46</v>
      </c>
      <c r="L15" s="13">
        <v>28.0</v>
      </c>
      <c r="M15" s="11">
        <v>3.0</v>
      </c>
      <c r="N15" s="14">
        <f t="shared" ref="N15:N24" si="2">I15*M15*100</f>
        <v>360000</v>
      </c>
      <c r="O15" s="11">
        <v>0.52</v>
      </c>
      <c r="P15" s="12" t="s">
        <v>47</v>
      </c>
      <c r="Q15" s="12" t="s">
        <v>48</v>
      </c>
      <c r="R15" s="12" t="s">
        <v>26</v>
      </c>
    </row>
    <row r="16" ht="27.75" customHeight="1">
      <c r="A16" s="11">
        <v>14.0</v>
      </c>
      <c r="B16" s="12" t="s">
        <v>28</v>
      </c>
      <c r="C16" s="11" t="s">
        <v>20</v>
      </c>
      <c r="D16" s="11" t="s">
        <v>45</v>
      </c>
      <c r="E16" s="11" t="s">
        <v>43</v>
      </c>
      <c r="F16" s="11">
        <v>2.0</v>
      </c>
      <c r="G16" s="11" t="s">
        <v>23</v>
      </c>
      <c r="H16" s="11"/>
      <c r="I16" s="11">
        <v>900.0</v>
      </c>
      <c r="J16" s="11">
        <v>23000.0</v>
      </c>
      <c r="K16" s="11" t="s">
        <v>46</v>
      </c>
      <c r="L16" s="13">
        <v>28.0</v>
      </c>
      <c r="M16" s="11">
        <v>3.0</v>
      </c>
      <c r="N16" s="14">
        <f t="shared" si="2"/>
        <v>270000</v>
      </c>
      <c r="O16" s="11">
        <v>-0.38</v>
      </c>
      <c r="P16" s="12" t="s">
        <v>49</v>
      </c>
      <c r="Q16" s="12" t="s">
        <v>50</v>
      </c>
      <c r="R16" s="12" t="s">
        <v>26</v>
      </c>
    </row>
    <row r="17" ht="27.75" customHeight="1">
      <c r="A17" s="11">
        <v>15.0</v>
      </c>
      <c r="B17" s="12" t="s">
        <v>29</v>
      </c>
      <c r="C17" s="11" t="s">
        <v>30</v>
      </c>
      <c r="D17" s="11" t="s">
        <v>45</v>
      </c>
      <c r="E17" s="11" t="s">
        <v>22</v>
      </c>
      <c r="F17" s="11">
        <v>1.0</v>
      </c>
      <c r="G17" s="11" t="s">
        <v>23</v>
      </c>
      <c r="H17" s="11"/>
      <c r="I17" s="11">
        <v>600.0</v>
      </c>
      <c r="J17" s="11">
        <v>10500.0</v>
      </c>
      <c r="K17" s="11" t="s">
        <v>51</v>
      </c>
      <c r="L17" s="13">
        <v>26.0</v>
      </c>
      <c r="M17" s="11">
        <v>5.0</v>
      </c>
      <c r="N17" s="14">
        <f t="shared" si="2"/>
        <v>300000</v>
      </c>
      <c r="O17" s="11">
        <v>-0.48</v>
      </c>
      <c r="P17" s="12" t="s">
        <v>52</v>
      </c>
      <c r="Q17" s="12" t="s">
        <v>48</v>
      </c>
      <c r="R17" s="12" t="s">
        <v>26</v>
      </c>
    </row>
    <row r="18" ht="27.75" customHeight="1">
      <c r="A18" s="11">
        <v>16.0</v>
      </c>
      <c r="B18" s="12" t="s">
        <v>29</v>
      </c>
      <c r="C18" s="11" t="s">
        <v>30</v>
      </c>
      <c r="D18" s="11" t="s">
        <v>45</v>
      </c>
      <c r="E18" s="11" t="s">
        <v>43</v>
      </c>
      <c r="F18" s="11">
        <v>1.0</v>
      </c>
      <c r="G18" s="11" t="s">
        <v>23</v>
      </c>
      <c r="H18" s="11"/>
      <c r="I18" s="11">
        <v>480.0</v>
      </c>
      <c r="J18" s="11">
        <v>10500.0</v>
      </c>
      <c r="K18" s="11" t="s">
        <v>51</v>
      </c>
      <c r="L18" s="13">
        <v>26.0</v>
      </c>
      <c r="M18" s="11">
        <v>5.0</v>
      </c>
      <c r="N18" s="14">
        <f t="shared" si="2"/>
        <v>240000</v>
      </c>
      <c r="O18" s="11">
        <v>0.48</v>
      </c>
      <c r="P18" s="12" t="s">
        <v>53</v>
      </c>
      <c r="Q18" s="12" t="s">
        <v>50</v>
      </c>
      <c r="R18" s="12" t="s">
        <v>26</v>
      </c>
    </row>
    <row r="19" ht="27.75" customHeight="1">
      <c r="A19" s="11">
        <v>17.0</v>
      </c>
      <c r="B19" s="12" t="s">
        <v>34</v>
      </c>
      <c r="C19" s="11" t="s">
        <v>35</v>
      </c>
      <c r="D19" s="11" t="s">
        <v>45</v>
      </c>
      <c r="E19" s="11" t="s">
        <v>22</v>
      </c>
      <c r="F19" s="11">
        <v>2.0</v>
      </c>
      <c r="G19" s="11" t="s">
        <v>23</v>
      </c>
      <c r="H19" s="11"/>
      <c r="I19" s="11">
        <v>750.0</v>
      </c>
      <c r="J19" s="11">
        <v>6200.0</v>
      </c>
      <c r="K19" s="11" t="s">
        <v>46</v>
      </c>
      <c r="L19" s="13">
        <v>24.0</v>
      </c>
      <c r="M19" s="11">
        <v>5.0</v>
      </c>
      <c r="N19" s="14">
        <f t="shared" si="2"/>
        <v>375000</v>
      </c>
      <c r="O19" s="11">
        <v>0.55</v>
      </c>
      <c r="P19" s="12" t="s">
        <v>54</v>
      </c>
      <c r="Q19" s="12" t="s">
        <v>48</v>
      </c>
      <c r="R19" s="12" t="s">
        <v>26</v>
      </c>
    </row>
    <row r="20" ht="27.75" customHeight="1">
      <c r="A20" s="11">
        <v>18.0</v>
      </c>
      <c r="B20" s="12" t="s">
        <v>34</v>
      </c>
      <c r="C20" s="11" t="s">
        <v>35</v>
      </c>
      <c r="D20" s="11" t="s">
        <v>45</v>
      </c>
      <c r="E20" s="11" t="s">
        <v>43</v>
      </c>
      <c r="F20" s="11">
        <v>2.0</v>
      </c>
      <c r="G20" s="11" t="s">
        <v>23</v>
      </c>
      <c r="H20" s="11"/>
      <c r="I20" s="11">
        <v>600.0</v>
      </c>
      <c r="J20" s="11">
        <v>6200.0</v>
      </c>
      <c r="K20" s="11" t="s">
        <v>46</v>
      </c>
      <c r="L20" s="13">
        <v>24.0</v>
      </c>
      <c r="M20" s="11">
        <v>5.0</v>
      </c>
      <c r="N20" s="14">
        <f t="shared" si="2"/>
        <v>300000</v>
      </c>
      <c r="O20" s="11">
        <v>-0.55</v>
      </c>
      <c r="P20" s="12" t="s">
        <v>55</v>
      </c>
      <c r="Q20" s="12" t="s">
        <v>50</v>
      </c>
      <c r="R20" s="12" t="s">
        <v>26</v>
      </c>
    </row>
    <row r="21" ht="27.75" customHeight="1">
      <c r="A21" s="11">
        <v>19.0</v>
      </c>
      <c r="B21" s="12" t="s">
        <v>39</v>
      </c>
      <c r="C21" s="11" t="s">
        <v>37</v>
      </c>
      <c r="D21" s="11" t="s">
        <v>45</v>
      </c>
      <c r="E21" s="11" t="s">
        <v>22</v>
      </c>
      <c r="F21" s="11">
        <v>3.0</v>
      </c>
      <c r="G21" s="11" t="s">
        <v>23</v>
      </c>
      <c r="H21" s="11"/>
      <c r="I21" s="11">
        <v>80.0</v>
      </c>
      <c r="J21" s="11">
        <v>1650.0</v>
      </c>
      <c r="K21" s="11" t="s">
        <v>51</v>
      </c>
      <c r="L21" s="13">
        <v>22.0</v>
      </c>
      <c r="M21" s="11">
        <v>4.0</v>
      </c>
      <c r="N21" s="14">
        <f t="shared" si="2"/>
        <v>32000</v>
      </c>
      <c r="O21" s="11">
        <v>-0.45</v>
      </c>
      <c r="P21" s="12" t="s">
        <v>52</v>
      </c>
      <c r="Q21" s="12" t="s">
        <v>48</v>
      </c>
      <c r="R21" s="12" t="s">
        <v>26</v>
      </c>
    </row>
    <row r="22" ht="27.75" customHeight="1">
      <c r="A22" s="11">
        <v>20.0</v>
      </c>
      <c r="B22" s="12" t="s">
        <v>39</v>
      </c>
      <c r="C22" s="11" t="s">
        <v>37</v>
      </c>
      <c r="D22" s="11" t="s">
        <v>45</v>
      </c>
      <c r="E22" s="11" t="s">
        <v>43</v>
      </c>
      <c r="F22" s="11">
        <v>3.0</v>
      </c>
      <c r="G22" s="11" t="s">
        <v>23</v>
      </c>
      <c r="H22" s="11"/>
      <c r="I22" s="11">
        <v>65.0</v>
      </c>
      <c r="J22" s="11">
        <v>1650.0</v>
      </c>
      <c r="K22" s="11" t="s">
        <v>51</v>
      </c>
      <c r="L22" s="13">
        <v>22.0</v>
      </c>
      <c r="M22" s="11">
        <v>4.0</v>
      </c>
      <c r="N22" s="14">
        <f t="shared" si="2"/>
        <v>26000</v>
      </c>
      <c r="O22" s="11">
        <v>0.45</v>
      </c>
      <c r="P22" s="12" t="s">
        <v>53</v>
      </c>
      <c r="Q22" s="12" t="s">
        <v>50</v>
      </c>
      <c r="R22" s="12" t="s">
        <v>26</v>
      </c>
    </row>
    <row r="23" ht="27.75" customHeight="1">
      <c r="A23" s="15">
        <v>21.0</v>
      </c>
      <c r="B23" s="16" t="s">
        <v>28</v>
      </c>
      <c r="C23" s="15" t="s">
        <v>20</v>
      </c>
      <c r="D23" s="15" t="s">
        <v>45</v>
      </c>
      <c r="E23" s="15" t="s">
        <v>43</v>
      </c>
      <c r="F23" s="15">
        <v>3.0</v>
      </c>
      <c r="G23" s="15" t="s">
        <v>23</v>
      </c>
      <c r="H23" s="15"/>
      <c r="I23" s="15">
        <v>85.0</v>
      </c>
      <c r="J23" s="15">
        <v>27000.0</v>
      </c>
      <c r="K23" s="15" t="s">
        <v>46</v>
      </c>
      <c r="L23" s="17">
        <v>28.0</v>
      </c>
      <c r="M23" s="15">
        <v>3.0</v>
      </c>
      <c r="N23" s="18">
        <f t="shared" si="2"/>
        <v>25500</v>
      </c>
      <c r="O23" s="15">
        <v>-0.04</v>
      </c>
      <c r="P23" s="16" t="s">
        <v>56</v>
      </c>
      <c r="Q23" s="16" t="s">
        <v>57</v>
      </c>
      <c r="R23" s="16" t="s">
        <v>26</v>
      </c>
    </row>
    <row r="24" ht="27.75" customHeight="1">
      <c r="A24" s="15">
        <v>22.0</v>
      </c>
      <c r="B24" s="16" t="s">
        <v>32</v>
      </c>
      <c r="C24" s="15" t="s">
        <v>30</v>
      </c>
      <c r="D24" s="15" t="s">
        <v>45</v>
      </c>
      <c r="E24" s="15" t="s">
        <v>43</v>
      </c>
      <c r="F24" s="15">
        <v>2.0</v>
      </c>
      <c r="G24" s="15" t="s">
        <v>23</v>
      </c>
      <c r="H24" s="15"/>
      <c r="I24" s="15">
        <v>60.0</v>
      </c>
      <c r="J24" s="15">
        <v>4500.0</v>
      </c>
      <c r="K24" s="15" t="s">
        <v>51</v>
      </c>
      <c r="L24" s="17">
        <v>26.0</v>
      </c>
      <c r="M24" s="15">
        <v>5.0</v>
      </c>
      <c r="N24" s="18">
        <f t="shared" si="2"/>
        <v>30000</v>
      </c>
      <c r="O24" s="15">
        <v>-0.03</v>
      </c>
      <c r="P24" s="16" t="s">
        <v>58</v>
      </c>
      <c r="Q24" s="16" t="s">
        <v>57</v>
      </c>
      <c r="R24" s="16" t="s">
        <v>26</v>
      </c>
    </row>
    <row r="25" ht="27.75" customHeight="1">
      <c r="A25" s="19">
        <v>23.0</v>
      </c>
      <c r="B25" s="20" t="s">
        <v>27</v>
      </c>
      <c r="C25" s="19" t="s">
        <v>20</v>
      </c>
      <c r="D25" s="19" t="s">
        <v>21</v>
      </c>
      <c r="E25" s="19" t="s">
        <v>43</v>
      </c>
      <c r="F25" s="19">
        <v>1.0</v>
      </c>
      <c r="G25" s="19" t="s">
        <v>23</v>
      </c>
      <c r="H25" s="19">
        <v>13350.0</v>
      </c>
      <c r="I25" s="19"/>
      <c r="J25" s="19"/>
      <c r="K25" s="19"/>
      <c r="L25" s="19"/>
      <c r="M25" s="19">
        <v>5.0</v>
      </c>
      <c r="N25" s="21">
        <f>H25*M25*100</f>
        <v>6675000</v>
      </c>
      <c r="O25" s="19">
        <v>-0.95</v>
      </c>
      <c r="P25" s="20" t="s">
        <v>59</v>
      </c>
      <c r="Q25" s="20" t="s">
        <v>60</v>
      </c>
      <c r="R25" s="20" t="s">
        <v>61</v>
      </c>
    </row>
    <row r="26" ht="27.75" customHeight="1">
      <c r="A26" s="22">
        <v>24.0</v>
      </c>
      <c r="B26" s="23" t="s">
        <v>29</v>
      </c>
      <c r="C26" s="22" t="s">
        <v>30</v>
      </c>
      <c r="D26" s="22" t="s">
        <v>45</v>
      </c>
      <c r="E26" s="22" t="s">
        <v>22</v>
      </c>
      <c r="F26" s="22">
        <v>1.0</v>
      </c>
      <c r="G26" s="22" t="s">
        <v>23</v>
      </c>
      <c r="H26" s="22"/>
      <c r="I26" s="22">
        <v>2100.0</v>
      </c>
      <c r="J26" s="22">
        <v>8000.0</v>
      </c>
      <c r="K26" s="22" t="s">
        <v>46</v>
      </c>
      <c r="L26" s="24">
        <v>26.0</v>
      </c>
      <c r="M26" s="22">
        <v>5.0</v>
      </c>
      <c r="N26" s="25">
        <f>I26*M26*100</f>
        <v>1050000</v>
      </c>
      <c r="O26" s="22">
        <v>0.91</v>
      </c>
      <c r="P26" s="23" t="s">
        <v>62</v>
      </c>
      <c r="Q26" s="23" t="s">
        <v>63</v>
      </c>
      <c r="R26" s="23" t="s">
        <v>64</v>
      </c>
    </row>
    <row r="27" ht="15.75" customHeight="1"/>
    <row r="28" ht="15.75" customHeight="1">
      <c r="A28" s="26" t="s">
        <v>65</v>
      </c>
      <c r="B28" s="2"/>
      <c r="C28" s="2"/>
      <c r="D28" s="3"/>
    </row>
    <row r="29" ht="15.75" customHeight="1">
      <c r="A29" s="27"/>
      <c r="B29" s="3"/>
      <c r="C29" s="28" t="s">
        <v>66</v>
      </c>
    </row>
    <row r="30" ht="15.75" customHeight="1">
      <c r="A30" s="29"/>
      <c r="B30" s="3"/>
      <c r="C30" s="28" t="s">
        <v>67</v>
      </c>
    </row>
    <row r="31" ht="15.75" customHeight="1">
      <c r="A31" s="30"/>
      <c r="B31" s="3"/>
      <c r="C31" s="28" t="s">
        <v>68</v>
      </c>
    </row>
    <row r="32" ht="15.75" customHeight="1">
      <c r="A32" s="31"/>
      <c r="B32" s="3"/>
      <c r="C32" s="28" t="s">
        <v>69</v>
      </c>
    </row>
    <row r="33" ht="15.75" customHeight="1">
      <c r="A33" s="32"/>
      <c r="B33" s="3"/>
      <c r="C33" s="28" t="s">
        <v>70</v>
      </c>
    </row>
    <row r="34" ht="15.75" customHeight="1">
      <c r="A34" s="33"/>
      <c r="B34" s="3"/>
      <c r="C34" s="28" t="s">
        <v>71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1:B31"/>
    <mergeCell ref="A32:B32"/>
    <mergeCell ref="C32:F32"/>
    <mergeCell ref="A33:B33"/>
    <mergeCell ref="C33:F33"/>
    <mergeCell ref="A34:B34"/>
    <mergeCell ref="C34:F34"/>
    <mergeCell ref="A1:R1"/>
    <mergeCell ref="A28:D28"/>
    <mergeCell ref="A29:B29"/>
    <mergeCell ref="C29:F29"/>
    <mergeCell ref="A30:B30"/>
    <mergeCell ref="C30:F30"/>
    <mergeCell ref="C31:F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6.0"/>
    <col customWidth="1" min="3" max="3" width="8.0"/>
    <col customWidth="1" min="4" max="4" width="9.0"/>
    <col customWidth="1" min="5" max="5" width="7.0"/>
    <col customWidth="1" min="6" max="6" width="6.0"/>
    <col customWidth="1" min="7" max="7" width="28.0"/>
    <col customWidth="1" min="8" max="8" width="22.0"/>
    <col customWidth="1" min="9" max="9" width="8.0"/>
    <col customWidth="1" min="10" max="10" width="14.0"/>
    <col customWidth="1" min="11" max="11" width="40.0"/>
    <col customWidth="1" min="12" max="26" width="8.71"/>
  </cols>
  <sheetData>
    <row r="1" ht="21.75" customHeight="1">
      <c r="A1" s="34" t="s">
        <v>72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3.75" customHeight="1">
      <c r="A2" s="35" t="s">
        <v>1</v>
      </c>
      <c r="B2" s="35" t="s">
        <v>2</v>
      </c>
      <c r="C2" s="35" t="s">
        <v>3</v>
      </c>
      <c r="D2" s="35" t="s">
        <v>73</v>
      </c>
      <c r="E2" s="35" t="s">
        <v>74</v>
      </c>
      <c r="F2" s="35" t="s">
        <v>75</v>
      </c>
      <c r="G2" s="35" t="s">
        <v>76</v>
      </c>
      <c r="H2" s="35" t="s">
        <v>77</v>
      </c>
      <c r="I2" s="35" t="s">
        <v>78</v>
      </c>
      <c r="J2" s="35" t="s">
        <v>79</v>
      </c>
      <c r="K2" s="35" t="s">
        <v>80</v>
      </c>
    </row>
    <row r="3" ht="25.5" customHeight="1">
      <c r="A3" s="5">
        <v>1.0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1.0</v>
      </c>
      <c r="G3" s="6" t="s">
        <v>81</v>
      </c>
      <c r="H3" s="5" t="s">
        <v>82</v>
      </c>
      <c r="I3" s="5">
        <v>0.95</v>
      </c>
      <c r="J3" s="5" t="s">
        <v>83</v>
      </c>
      <c r="K3" s="6" t="s">
        <v>84</v>
      </c>
    </row>
    <row r="4" ht="25.5" customHeight="1">
      <c r="A4" s="5">
        <v>2.0</v>
      </c>
      <c r="B4" s="5" t="s">
        <v>27</v>
      </c>
      <c r="C4" s="5" t="s">
        <v>20</v>
      </c>
      <c r="D4" s="5" t="s">
        <v>21</v>
      </c>
      <c r="E4" s="5" t="s">
        <v>22</v>
      </c>
      <c r="F4" s="5">
        <v>2.0</v>
      </c>
      <c r="G4" s="6" t="s">
        <v>81</v>
      </c>
      <c r="H4" s="5" t="s">
        <v>85</v>
      </c>
      <c r="I4" s="5">
        <v>0.95</v>
      </c>
      <c r="J4" s="5" t="s">
        <v>86</v>
      </c>
      <c r="K4" s="6"/>
    </row>
    <row r="5" ht="25.5" customHeight="1">
      <c r="A5" s="5">
        <v>3.0</v>
      </c>
      <c r="B5" s="5" t="s">
        <v>28</v>
      </c>
      <c r="C5" s="5" t="s">
        <v>20</v>
      </c>
      <c r="D5" s="5" t="s">
        <v>21</v>
      </c>
      <c r="E5" s="5" t="s">
        <v>22</v>
      </c>
      <c r="F5" s="5">
        <v>2.0</v>
      </c>
      <c r="G5" s="6" t="s">
        <v>81</v>
      </c>
      <c r="H5" s="5" t="s">
        <v>85</v>
      </c>
      <c r="I5" s="5">
        <v>0.95</v>
      </c>
      <c r="J5" s="5" t="s">
        <v>87</v>
      </c>
      <c r="K5" s="6"/>
    </row>
    <row r="6" ht="25.5" customHeight="1">
      <c r="A6" s="5">
        <v>4.0</v>
      </c>
      <c r="B6" s="5" t="s">
        <v>29</v>
      </c>
      <c r="C6" s="5" t="s">
        <v>30</v>
      </c>
      <c r="D6" s="5" t="s">
        <v>21</v>
      </c>
      <c r="E6" s="5" t="s">
        <v>22</v>
      </c>
      <c r="F6" s="5">
        <v>2.0</v>
      </c>
      <c r="G6" s="6" t="s">
        <v>88</v>
      </c>
      <c r="H6" s="5" t="s">
        <v>85</v>
      </c>
      <c r="I6" s="5">
        <v>0.95</v>
      </c>
      <c r="J6" s="5" t="s">
        <v>89</v>
      </c>
      <c r="K6" s="6" t="s">
        <v>90</v>
      </c>
    </row>
    <row r="7" ht="25.5" customHeight="1">
      <c r="A7" s="5">
        <v>5.0</v>
      </c>
      <c r="B7" s="5" t="s">
        <v>32</v>
      </c>
      <c r="C7" s="5" t="s">
        <v>30</v>
      </c>
      <c r="D7" s="5" t="s">
        <v>21</v>
      </c>
      <c r="E7" s="5" t="s">
        <v>22</v>
      </c>
      <c r="F7" s="5">
        <v>4.0</v>
      </c>
      <c r="G7" s="6" t="s">
        <v>88</v>
      </c>
      <c r="H7" s="5" t="s">
        <v>85</v>
      </c>
      <c r="I7" s="5">
        <v>0.95</v>
      </c>
      <c r="J7" s="5" t="s">
        <v>91</v>
      </c>
      <c r="K7" s="6" t="s">
        <v>92</v>
      </c>
    </row>
    <row r="8" ht="25.5" customHeight="1">
      <c r="A8" s="5">
        <v>6.0</v>
      </c>
      <c r="B8" s="5" t="s">
        <v>34</v>
      </c>
      <c r="C8" s="5" t="s">
        <v>35</v>
      </c>
      <c r="D8" s="5" t="s">
        <v>21</v>
      </c>
      <c r="E8" s="5" t="s">
        <v>22</v>
      </c>
      <c r="F8" s="5">
        <v>4.0</v>
      </c>
      <c r="G8" s="6" t="s">
        <v>81</v>
      </c>
      <c r="H8" s="5" t="s">
        <v>85</v>
      </c>
      <c r="I8" s="5">
        <v>0.95</v>
      </c>
      <c r="J8" s="5" t="s">
        <v>93</v>
      </c>
      <c r="K8" s="6" t="s">
        <v>94</v>
      </c>
    </row>
    <row r="9" ht="25.5" customHeight="1">
      <c r="A9" s="5">
        <v>7.0</v>
      </c>
      <c r="B9" s="5" t="s">
        <v>36</v>
      </c>
      <c r="C9" s="5" t="s">
        <v>37</v>
      </c>
      <c r="D9" s="5" t="s">
        <v>21</v>
      </c>
      <c r="E9" s="5" t="s">
        <v>22</v>
      </c>
      <c r="F9" s="5">
        <v>2.0</v>
      </c>
      <c r="G9" s="6" t="s">
        <v>88</v>
      </c>
      <c r="H9" s="5" t="s">
        <v>85</v>
      </c>
      <c r="I9" s="5">
        <v>0.95</v>
      </c>
      <c r="J9" s="5" t="s">
        <v>95</v>
      </c>
      <c r="K9" s="6" t="s">
        <v>96</v>
      </c>
    </row>
    <row r="10" ht="25.5" customHeight="1">
      <c r="A10" s="5">
        <v>8.0</v>
      </c>
      <c r="B10" s="5" t="s">
        <v>97</v>
      </c>
      <c r="C10" s="5" t="s">
        <v>37</v>
      </c>
      <c r="D10" s="5" t="s">
        <v>21</v>
      </c>
      <c r="E10" s="5" t="s">
        <v>22</v>
      </c>
      <c r="F10" s="5">
        <v>7.0</v>
      </c>
      <c r="G10" s="6" t="s">
        <v>88</v>
      </c>
      <c r="H10" s="5" t="s">
        <v>85</v>
      </c>
      <c r="I10" s="5">
        <v>0.95</v>
      </c>
      <c r="J10" s="5" t="s">
        <v>98</v>
      </c>
      <c r="K10" s="6" t="s">
        <v>99</v>
      </c>
    </row>
    <row r="11" ht="25.5" customHeight="1">
      <c r="A11" s="8">
        <v>9.0</v>
      </c>
      <c r="B11" s="8" t="s">
        <v>19</v>
      </c>
      <c r="C11" s="8" t="s">
        <v>20</v>
      </c>
      <c r="D11" s="8" t="s">
        <v>21</v>
      </c>
      <c r="E11" s="8" t="s">
        <v>22</v>
      </c>
      <c r="F11" s="8">
        <v>1.0</v>
      </c>
      <c r="G11" s="9" t="s">
        <v>100</v>
      </c>
      <c r="H11" s="8" t="s">
        <v>101</v>
      </c>
      <c r="I11" s="8">
        <v>0.95</v>
      </c>
      <c r="J11" s="8" t="s">
        <v>102</v>
      </c>
      <c r="K11" s="9" t="s">
        <v>103</v>
      </c>
    </row>
    <row r="12" ht="25.5" customHeight="1">
      <c r="A12" s="8">
        <v>10.0</v>
      </c>
      <c r="B12" s="8" t="s">
        <v>19</v>
      </c>
      <c r="C12" s="8" t="s">
        <v>20</v>
      </c>
      <c r="D12" s="8" t="s">
        <v>21</v>
      </c>
      <c r="E12" s="8" t="s">
        <v>43</v>
      </c>
      <c r="F12" s="8">
        <v>1.0</v>
      </c>
      <c r="G12" s="9" t="s">
        <v>100</v>
      </c>
      <c r="H12" s="8" t="s">
        <v>101</v>
      </c>
      <c r="I12" s="8">
        <v>-0.95</v>
      </c>
      <c r="J12" s="8" t="s">
        <v>102</v>
      </c>
      <c r="K12" s="9" t="s">
        <v>104</v>
      </c>
    </row>
    <row r="13" ht="25.5" customHeight="1">
      <c r="A13" s="8">
        <v>11.0</v>
      </c>
      <c r="B13" s="8" t="s">
        <v>32</v>
      </c>
      <c r="C13" s="8" t="s">
        <v>30</v>
      </c>
      <c r="D13" s="8" t="s">
        <v>21</v>
      </c>
      <c r="E13" s="8" t="s">
        <v>22</v>
      </c>
      <c r="F13" s="8">
        <v>2.0</v>
      </c>
      <c r="G13" s="9" t="s">
        <v>100</v>
      </c>
      <c r="H13" s="8" t="s">
        <v>85</v>
      </c>
      <c r="I13" s="8">
        <v>0.95</v>
      </c>
      <c r="J13" s="8" t="s">
        <v>105</v>
      </c>
      <c r="K13" s="9"/>
    </row>
    <row r="14" ht="25.5" customHeight="1">
      <c r="A14" s="8">
        <v>12.0</v>
      </c>
      <c r="B14" s="8" t="s">
        <v>32</v>
      </c>
      <c r="C14" s="8" t="s">
        <v>30</v>
      </c>
      <c r="D14" s="8" t="s">
        <v>21</v>
      </c>
      <c r="E14" s="8" t="s">
        <v>43</v>
      </c>
      <c r="F14" s="8">
        <v>2.0</v>
      </c>
      <c r="G14" s="9" t="s">
        <v>100</v>
      </c>
      <c r="H14" s="8" t="s">
        <v>85</v>
      </c>
      <c r="I14" s="8">
        <v>-0.95</v>
      </c>
      <c r="J14" s="8" t="s">
        <v>105</v>
      </c>
      <c r="K14" s="9"/>
    </row>
    <row r="15" ht="25.5" customHeight="1">
      <c r="A15" s="11">
        <v>13.0</v>
      </c>
      <c r="B15" s="11" t="s">
        <v>28</v>
      </c>
      <c r="C15" s="11" t="s">
        <v>20</v>
      </c>
      <c r="D15" s="11" t="s">
        <v>45</v>
      </c>
      <c r="E15" s="11" t="s">
        <v>22</v>
      </c>
      <c r="F15" s="11">
        <v>1.0</v>
      </c>
      <c r="G15" s="12" t="s">
        <v>48</v>
      </c>
      <c r="H15" s="11" t="s">
        <v>106</v>
      </c>
      <c r="I15" s="11">
        <v>0.52</v>
      </c>
      <c r="J15" s="11" t="s">
        <v>107</v>
      </c>
      <c r="K15" s="12" t="s">
        <v>108</v>
      </c>
    </row>
    <row r="16" ht="25.5" customHeight="1">
      <c r="A16" s="11">
        <v>14.0</v>
      </c>
      <c r="B16" s="11" t="s">
        <v>28</v>
      </c>
      <c r="C16" s="11" t="s">
        <v>20</v>
      </c>
      <c r="D16" s="11" t="s">
        <v>45</v>
      </c>
      <c r="E16" s="11" t="s">
        <v>43</v>
      </c>
      <c r="F16" s="11">
        <v>2.0</v>
      </c>
      <c r="G16" s="12" t="s">
        <v>50</v>
      </c>
      <c r="H16" s="11" t="s">
        <v>106</v>
      </c>
      <c r="I16" s="11">
        <v>-0.38</v>
      </c>
      <c r="J16" s="11" t="s">
        <v>109</v>
      </c>
      <c r="K16" s="12" t="s">
        <v>110</v>
      </c>
    </row>
    <row r="17" ht="25.5" customHeight="1">
      <c r="A17" s="11">
        <v>15.0</v>
      </c>
      <c r="B17" s="11" t="s">
        <v>29</v>
      </c>
      <c r="C17" s="11" t="s">
        <v>30</v>
      </c>
      <c r="D17" s="11" t="s">
        <v>45</v>
      </c>
      <c r="E17" s="11" t="s">
        <v>22</v>
      </c>
      <c r="F17" s="11">
        <v>1.0</v>
      </c>
      <c r="G17" s="12" t="s">
        <v>48</v>
      </c>
      <c r="H17" s="11" t="s">
        <v>106</v>
      </c>
      <c r="I17" s="11">
        <v>-0.48</v>
      </c>
      <c r="J17" s="11" t="s">
        <v>111</v>
      </c>
      <c r="K17" s="12"/>
    </row>
    <row r="18" ht="25.5" customHeight="1">
      <c r="A18" s="11">
        <v>16.0</v>
      </c>
      <c r="B18" s="11" t="s">
        <v>29</v>
      </c>
      <c r="C18" s="11" t="s">
        <v>30</v>
      </c>
      <c r="D18" s="11" t="s">
        <v>45</v>
      </c>
      <c r="E18" s="11" t="s">
        <v>43</v>
      </c>
      <c r="F18" s="11">
        <v>1.0</v>
      </c>
      <c r="G18" s="12" t="s">
        <v>50</v>
      </c>
      <c r="H18" s="11" t="s">
        <v>106</v>
      </c>
      <c r="I18" s="11">
        <v>0.48</v>
      </c>
      <c r="J18" s="11" t="s">
        <v>112</v>
      </c>
      <c r="K18" s="12"/>
    </row>
    <row r="19" ht="25.5" customHeight="1">
      <c r="A19" s="11">
        <v>17.0</v>
      </c>
      <c r="B19" s="11" t="s">
        <v>34</v>
      </c>
      <c r="C19" s="11" t="s">
        <v>35</v>
      </c>
      <c r="D19" s="11" t="s">
        <v>45</v>
      </c>
      <c r="E19" s="11" t="s">
        <v>22</v>
      </c>
      <c r="F19" s="11">
        <v>2.0</v>
      </c>
      <c r="G19" s="12" t="s">
        <v>48</v>
      </c>
      <c r="H19" s="11" t="s">
        <v>106</v>
      </c>
      <c r="I19" s="11">
        <v>0.55</v>
      </c>
      <c r="J19" s="11" t="s">
        <v>113</v>
      </c>
      <c r="K19" s="12"/>
    </row>
    <row r="20" ht="25.5" customHeight="1">
      <c r="A20" s="11">
        <v>18.0</v>
      </c>
      <c r="B20" s="11" t="s">
        <v>34</v>
      </c>
      <c r="C20" s="11" t="s">
        <v>35</v>
      </c>
      <c r="D20" s="11" t="s">
        <v>45</v>
      </c>
      <c r="E20" s="11" t="s">
        <v>43</v>
      </c>
      <c r="F20" s="11">
        <v>2.0</v>
      </c>
      <c r="G20" s="12" t="s">
        <v>50</v>
      </c>
      <c r="H20" s="11" t="s">
        <v>106</v>
      </c>
      <c r="I20" s="11">
        <v>-0.55</v>
      </c>
      <c r="J20" s="11" t="s">
        <v>114</v>
      </c>
      <c r="K20" s="12"/>
    </row>
    <row r="21" ht="25.5" customHeight="1">
      <c r="A21" s="11">
        <v>19.0</v>
      </c>
      <c r="B21" s="11" t="s">
        <v>97</v>
      </c>
      <c r="C21" s="11" t="s">
        <v>37</v>
      </c>
      <c r="D21" s="11" t="s">
        <v>45</v>
      </c>
      <c r="E21" s="11" t="s">
        <v>22</v>
      </c>
      <c r="F21" s="11">
        <v>3.0</v>
      </c>
      <c r="G21" s="12" t="s">
        <v>48</v>
      </c>
      <c r="H21" s="11" t="s">
        <v>106</v>
      </c>
      <c r="I21" s="11">
        <v>-0.45</v>
      </c>
      <c r="J21" s="11" t="s">
        <v>115</v>
      </c>
      <c r="K21" s="12"/>
    </row>
    <row r="22" ht="25.5" customHeight="1">
      <c r="A22" s="11">
        <v>20.0</v>
      </c>
      <c r="B22" s="11" t="s">
        <v>97</v>
      </c>
      <c r="C22" s="11" t="s">
        <v>37</v>
      </c>
      <c r="D22" s="11" t="s">
        <v>45</v>
      </c>
      <c r="E22" s="11" t="s">
        <v>43</v>
      </c>
      <c r="F22" s="11">
        <v>3.0</v>
      </c>
      <c r="G22" s="12" t="s">
        <v>50</v>
      </c>
      <c r="H22" s="11" t="s">
        <v>106</v>
      </c>
      <c r="I22" s="11">
        <v>0.45</v>
      </c>
      <c r="J22" s="11" t="s">
        <v>116</v>
      </c>
      <c r="K22" s="12"/>
    </row>
    <row r="23" ht="25.5" customHeight="1">
      <c r="A23" s="15">
        <v>21.0</v>
      </c>
      <c r="B23" s="15" t="s">
        <v>28</v>
      </c>
      <c r="C23" s="15" t="s">
        <v>20</v>
      </c>
      <c r="D23" s="15" t="s">
        <v>45</v>
      </c>
      <c r="E23" s="15" t="s">
        <v>43</v>
      </c>
      <c r="F23" s="15">
        <v>3.0</v>
      </c>
      <c r="G23" s="16" t="s">
        <v>117</v>
      </c>
      <c r="H23" s="15" t="s">
        <v>118</v>
      </c>
      <c r="I23" s="15">
        <v>-0.04</v>
      </c>
      <c r="J23" s="15" t="s">
        <v>119</v>
      </c>
      <c r="K23" s="16" t="s">
        <v>120</v>
      </c>
    </row>
    <row r="24" ht="25.5" customHeight="1">
      <c r="A24" s="15">
        <v>22.0</v>
      </c>
      <c r="B24" s="15" t="s">
        <v>32</v>
      </c>
      <c r="C24" s="15" t="s">
        <v>30</v>
      </c>
      <c r="D24" s="15" t="s">
        <v>45</v>
      </c>
      <c r="E24" s="15" t="s">
        <v>43</v>
      </c>
      <c r="F24" s="15">
        <v>2.0</v>
      </c>
      <c r="G24" s="16" t="s">
        <v>117</v>
      </c>
      <c r="H24" s="15" t="s">
        <v>118</v>
      </c>
      <c r="I24" s="15">
        <v>-0.03</v>
      </c>
      <c r="J24" s="15" t="s">
        <v>121</v>
      </c>
      <c r="K24" s="16" t="s">
        <v>122</v>
      </c>
    </row>
    <row r="25" ht="25.5" customHeight="1">
      <c r="A25" s="19">
        <v>23.0</v>
      </c>
      <c r="B25" s="19" t="s">
        <v>27</v>
      </c>
      <c r="C25" s="19" t="s">
        <v>20</v>
      </c>
      <c r="D25" s="19" t="s">
        <v>21</v>
      </c>
      <c r="E25" s="19" t="s">
        <v>43</v>
      </c>
      <c r="F25" s="19">
        <v>1.0</v>
      </c>
      <c r="G25" s="20" t="s">
        <v>123</v>
      </c>
      <c r="H25" s="19" t="s">
        <v>85</v>
      </c>
      <c r="I25" s="19">
        <v>-0.95</v>
      </c>
      <c r="J25" s="19" t="s">
        <v>124</v>
      </c>
      <c r="K25" s="20" t="s">
        <v>125</v>
      </c>
    </row>
    <row r="26" ht="25.5" customHeight="1">
      <c r="A26" s="22">
        <v>24.0</v>
      </c>
      <c r="B26" s="22" t="s">
        <v>29</v>
      </c>
      <c r="C26" s="22" t="s">
        <v>30</v>
      </c>
      <c r="D26" s="22" t="s">
        <v>45</v>
      </c>
      <c r="E26" s="22" t="s">
        <v>22</v>
      </c>
      <c r="F26" s="22">
        <v>1.0</v>
      </c>
      <c r="G26" s="23" t="s">
        <v>126</v>
      </c>
      <c r="H26" s="22" t="s">
        <v>106</v>
      </c>
      <c r="I26" s="22">
        <v>0.91</v>
      </c>
      <c r="J26" s="22" t="s">
        <v>127</v>
      </c>
      <c r="K26" s="23" t="s">
        <v>128</v>
      </c>
    </row>
    <row r="27" ht="25.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6.0"/>
    <col customWidth="1" min="3" max="3" width="8.0"/>
    <col customWidth="1" min="4" max="4" width="9.0"/>
    <col customWidth="1" min="5" max="5" width="7.0"/>
    <col customWidth="1" min="6" max="6" width="6.0"/>
    <col customWidth="1" min="7" max="7" width="28.0"/>
    <col customWidth="1" min="8" max="8" width="22.0"/>
    <col customWidth="1" min="9" max="9" width="8.0"/>
    <col customWidth="1" min="10" max="10" width="14.0"/>
    <col customWidth="1" min="11" max="11" width="40.0"/>
    <col customWidth="1" min="12" max="26" width="8.71"/>
  </cols>
  <sheetData>
    <row r="1" ht="21.75" customHeight="1">
      <c r="A1" s="36" t="s">
        <v>129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3.75" customHeight="1">
      <c r="A2" s="37" t="s">
        <v>1</v>
      </c>
      <c r="B2" s="37" t="s">
        <v>2</v>
      </c>
      <c r="C2" s="37" t="s">
        <v>3</v>
      </c>
      <c r="D2" s="37" t="s">
        <v>73</v>
      </c>
      <c r="E2" s="37" t="s">
        <v>74</v>
      </c>
      <c r="F2" s="37" t="s">
        <v>75</v>
      </c>
      <c r="G2" s="37" t="s">
        <v>130</v>
      </c>
      <c r="H2" s="37" t="s">
        <v>131</v>
      </c>
      <c r="I2" s="37" t="s">
        <v>78</v>
      </c>
      <c r="J2" s="37" t="s">
        <v>79</v>
      </c>
      <c r="K2" s="37" t="s">
        <v>132</v>
      </c>
    </row>
    <row r="3" ht="25.5" customHeight="1">
      <c r="A3" s="5">
        <v>1.0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1.0</v>
      </c>
      <c r="G3" s="6" t="s">
        <v>133</v>
      </c>
      <c r="H3" s="5" t="s">
        <v>134</v>
      </c>
      <c r="I3" s="5">
        <v>0.95</v>
      </c>
      <c r="J3" s="5" t="s">
        <v>135</v>
      </c>
      <c r="K3" s="6" t="s">
        <v>136</v>
      </c>
    </row>
    <row r="4" ht="25.5" customHeight="1">
      <c r="A4" s="5">
        <v>2.0</v>
      </c>
      <c r="B4" s="5" t="s">
        <v>27</v>
      </c>
      <c r="C4" s="5" t="s">
        <v>20</v>
      </c>
      <c r="D4" s="5" t="s">
        <v>21</v>
      </c>
      <c r="E4" s="5" t="s">
        <v>22</v>
      </c>
      <c r="F4" s="5">
        <v>2.0</v>
      </c>
      <c r="G4" s="6" t="s">
        <v>133</v>
      </c>
      <c r="H4" s="5" t="s">
        <v>137</v>
      </c>
      <c r="I4" s="5">
        <v>0.95</v>
      </c>
      <c r="J4" s="5" t="s">
        <v>138</v>
      </c>
      <c r="K4" s="6"/>
    </row>
    <row r="5" ht="25.5" customHeight="1">
      <c r="A5" s="5">
        <v>3.0</v>
      </c>
      <c r="B5" s="5" t="s">
        <v>28</v>
      </c>
      <c r="C5" s="5" t="s">
        <v>20</v>
      </c>
      <c r="D5" s="5" t="s">
        <v>21</v>
      </c>
      <c r="E5" s="5" t="s">
        <v>22</v>
      </c>
      <c r="F5" s="5">
        <v>2.0</v>
      </c>
      <c r="G5" s="6" t="s">
        <v>133</v>
      </c>
      <c r="H5" s="5" t="s">
        <v>137</v>
      </c>
      <c r="I5" s="5">
        <v>0.95</v>
      </c>
      <c r="J5" s="5" t="s">
        <v>139</v>
      </c>
      <c r="K5" s="6"/>
    </row>
    <row r="6" ht="25.5" customHeight="1">
      <c r="A6" s="5">
        <v>4.0</v>
      </c>
      <c r="B6" s="5" t="s">
        <v>29</v>
      </c>
      <c r="C6" s="5" t="s">
        <v>30</v>
      </c>
      <c r="D6" s="5" t="s">
        <v>21</v>
      </c>
      <c r="E6" s="5" t="s">
        <v>22</v>
      </c>
      <c r="F6" s="5">
        <v>2.0</v>
      </c>
      <c r="G6" s="6" t="s">
        <v>140</v>
      </c>
      <c r="H6" s="5" t="s">
        <v>137</v>
      </c>
      <c r="I6" s="5">
        <v>0.95</v>
      </c>
      <c r="J6" s="5" t="s">
        <v>141</v>
      </c>
      <c r="K6" s="6" t="s">
        <v>142</v>
      </c>
    </row>
    <row r="7" ht="25.5" customHeight="1">
      <c r="A7" s="5">
        <v>5.0</v>
      </c>
      <c r="B7" s="5" t="s">
        <v>32</v>
      </c>
      <c r="C7" s="5" t="s">
        <v>30</v>
      </c>
      <c r="D7" s="5" t="s">
        <v>21</v>
      </c>
      <c r="E7" s="5" t="s">
        <v>22</v>
      </c>
      <c r="F7" s="5">
        <v>4.0</v>
      </c>
      <c r="G7" s="6" t="s">
        <v>140</v>
      </c>
      <c r="H7" s="5" t="s">
        <v>137</v>
      </c>
      <c r="I7" s="5">
        <v>0.95</v>
      </c>
      <c r="J7" s="5" t="s">
        <v>143</v>
      </c>
      <c r="K7" s="6"/>
    </row>
    <row r="8" ht="25.5" customHeight="1">
      <c r="A8" s="5">
        <v>6.0</v>
      </c>
      <c r="B8" s="5" t="s">
        <v>34</v>
      </c>
      <c r="C8" s="5" t="s">
        <v>35</v>
      </c>
      <c r="D8" s="5" t="s">
        <v>21</v>
      </c>
      <c r="E8" s="5" t="s">
        <v>22</v>
      </c>
      <c r="F8" s="5">
        <v>4.0</v>
      </c>
      <c r="G8" s="6" t="s">
        <v>133</v>
      </c>
      <c r="H8" s="5" t="s">
        <v>137</v>
      </c>
      <c r="I8" s="5">
        <v>0.95</v>
      </c>
      <c r="J8" s="5" t="s">
        <v>144</v>
      </c>
      <c r="K8" s="6"/>
    </row>
    <row r="9" ht="25.5" customHeight="1">
      <c r="A9" s="5">
        <v>7.0</v>
      </c>
      <c r="B9" s="5" t="s">
        <v>36</v>
      </c>
      <c r="C9" s="5" t="s">
        <v>37</v>
      </c>
      <c r="D9" s="5" t="s">
        <v>21</v>
      </c>
      <c r="E9" s="5" t="s">
        <v>22</v>
      </c>
      <c r="F9" s="5">
        <v>2.0</v>
      </c>
      <c r="G9" s="6" t="s">
        <v>140</v>
      </c>
      <c r="H9" s="5" t="s">
        <v>137</v>
      </c>
      <c r="I9" s="5">
        <v>0.95</v>
      </c>
      <c r="J9" s="5" t="s">
        <v>145</v>
      </c>
      <c r="K9" s="6"/>
    </row>
    <row r="10" ht="25.5" customHeight="1">
      <c r="A10" s="5">
        <v>8.0</v>
      </c>
      <c r="B10" s="5" t="s">
        <v>97</v>
      </c>
      <c r="C10" s="5" t="s">
        <v>37</v>
      </c>
      <c r="D10" s="5" t="s">
        <v>21</v>
      </c>
      <c r="E10" s="5" t="s">
        <v>22</v>
      </c>
      <c r="F10" s="5">
        <v>7.0</v>
      </c>
      <c r="G10" s="6" t="s">
        <v>140</v>
      </c>
      <c r="H10" s="5" t="s">
        <v>137</v>
      </c>
      <c r="I10" s="5">
        <v>0.95</v>
      </c>
      <c r="J10" s="5" t="s">
        <v>146</v>
      </c>
      <c r="K10" s="6"/>
    </row>
    <row r="11" ht="25.5" customHeight="1">
      <c r="A11" s="8">
        <v>9.0</v>
      </c>
      <c r="B11" s="8" t="s">
        <v>19</v>
      </c>
      <c r="C11" s="8" t="s">
        <v>20</v>
      </c>
      <c r="D11" s="8" t="s">
        <v>21</v>
      </c>
      <c r="E11" s="8" t="s">
        <v>22</v>
      </c>
      <c r="F11" s="8">
        <v>1.0</v>
      </c>
      <c r="G11" s="9" t="s">
        <v>147</v>
      </c>
      <c r="H11" s="8" t="s">
        <v>148</v>
      </c>
      <c r="I11" s="8">
        <v>0.95</v>
      </c>
      <c r="J11" s="8" t="s">
        <v>149</v>
      </c>
      <c r="K11" s="9" t="s">
        <v>150</v>
      </c>
    </row>
    <row r="12" ht="25.5" customHeight="1">
      <c r="A12" s="8">
        <v>10.0</v>
      </c>
      <c r="B12" s="8" t="s">
        <v>19</v>
      </c>
      <c r="C12" s="8" t="s">
        <v>20</v>
      </c>
      <c r="D12" s="8" t="s">
        <v>21</v>
      </c>
      <c r="E12" s="8" t="s">
        <v>43</v>
      </c>
      <c r="F12" s="8">
        <v>1.0</v>
      </c>
      <c r="G12" s="9" t="s">
        <v>147</v>
      </c>
      <c r="H12" s="8" t="s">
        <v>137</v>
      </c>
      <c r="I12" s="8">
        <v>-0.95</v>
      </c>
      <c r="J12" s="8" t="s">
        <v>149</v>
      </c>
      <c r="K12" s="9"/>
    </row>
    <row r="13" ht="25.5" customHeight="1">
      <c r="A13" s="8">
        <v>11.0</v>
      </c>
      <c r="B13" s="8" t="s">
        <v>32</v>
      </c>
      <c r="C13" s="8" t="s">
        <v>30</v>
      </c>
      <c r="D13" s="8" t="s">
        <v>21</v>
      </c>
      <c r="E13" s="8" t="s">
        <v>22</v>
      </c>
      <c r="F13" s="8">
        <v>2.0</v>
      </c>
      <c r="G13" s="9" t="s">
        <v>147</v>
      </c>
      <c r="H13" s="8" t="s">
        <v>137</v>
      </c>
      <c r="I13" s="8">
        <v>0.95</v>
      </c>
      <c r="J13" s="8" t="s">
        <v>151</v>
      </c>
      <c r="K13" s="9"/>
    </row>
    <row r="14" ht="25.5" customHeight="1">
      <c r="A14" s="8">
        <v>12.0</v>
      </c>
      <c r="B14" s="8" t="s">
        <v>32</v>
      </c>
      <c r="C14" s="8" t="s">
        <v>30</v>
      </c>
      <c r="D14" s="8" t="s">
        <v>21</v>
      </c>
      <c r="E14" s="8" t="s">
        <v>43</v>
      </c>
      <c r="F14" s="8">
        <v>2.0</v>
      </c>
      <c r="G14" s="9" t="s">
        <v>147</v>
      </c>
      <c r="H14" s="8" t="s">
        <v>137</v>
      </c>
      <c r="I14" s="8">
        <v>-0.95</v>
      </c>
      <c r="J14" s="8" t="s">
        <v>151</v>
      </c>
      <c r="K14" s="9"/>
    </row>
    <row r="15" ht="25.5" customHeight="1">
      <c r="A15" s="11">
        <v>13.0</v>
      </c>
      <c r="B15" s="11" t="s">
        <v>28</v>
      </c>
      <c r="C15" s="11" t="s">
        <v>20</v>
      </c>
      <c r="D15" s="11" t="s">
        <v>45</v>
      </c>
      <c r="E15" s="11" t="s">
        <v>22</v>
      </c>
      <c r="F15" s="11">
        <v>1.0</v>
      </c>
      <c r="G15" s="12" t="s">
        <v>152</v>
      </c>
      <c r="H15" s="11" t="s">
        <v>153</v>
      </c>
      <c r="I15" s="11">
        <v>0.52</v>
      </c>
      <c r="J15" s="11" t="s">
        <v>154</v>
      </c>
      <c r="K15" s="12" t="s">
        <v>155</v>
      </c>
    </row>
    <row r="16" ht="25.5" customHeight="1">
      <c r="A16" s="11">
        <v>14.0</v>
      </c>
      <c r="B16" s="11" t="s">
        <v>28</v>
      </c>
      <c r="C16" s="11" t="s">
        <v>20</v>
      </c>
      <c r="D16" s="11" t="s">
        <v>45</v>
      </c>
      <c r="E16" s="11" t="s">
        <v>43</v>
      </c>
      <c r="F16" s="11">
        <v>2.0</v>
      </c>
      <c r="G16" s="12" t="s">
        <v>156</v>
      </c>
      <c r="H16" s="11" t="s">
        <v>153</v>
      </c>
      <c r="I16" s="11">
        <v>-0.38</v>
      </c>
      <c r="J16" s="11" t="s">
        <v>157</v>
      </c>
      <c r="K16" s="12"/>
    </row>
    <row r="17" ht="25.5" customHeight="1">
      <c r="A17" s="11">
        <v>15.0</v>
      </c>
      <c r="B17" s="11" t="s">
        <v>29</v>
      </c>
      <c r="C17" s="11" t="s">
        <v>30</v>
      </c>
      <c r="D17" s="11" t="s">
        <v>45</v>
      </c>
      <c r="E17" s="11" t="s">
        <v>22</v>
      </c>
      <c r="F17" s="11">
        <v>1.0</v>
      </c>
      <c r="G17" s="12" t="s">
        <v>152</v>
      </c>
      <c r="H17" s="11" t="s">
        <v>158</v>
      </c>
      <c r="I17" s="11">
        <v>-0.48</v>
      </c>
      <c r="J17" s="11" t="s">
        <v>159</v>
      </c>
      <c r="K17" s="12"/>
    </row>
    <row r="18" ht="25.5" customHeight="1">
      <c r="A18" s="11">
        <v>16.0</v>
      </c>
      <c r="B18" s="11" t="s">
        <v>29</v>
      </c>
      <c r="C18" s="11" t="s">
        <v>30</v>
      </c>
      <c r="D18" s="11" t="s">
        <v>45</v>
      </c>
      <c r="E18" s="11" t="s">
        <v>43</v>
      </c>
      <c r="F18" s="11">
        <v>1.0</v>
      </c>
      <c r="G18" s="12" t="s">
        <v>156</v>
      </c>
      <c r="H18" s="11" t="s">
        <v>158</v>
      </c>
      <c r="I18" s="11">
        <v>0.48</v>
      </c>
      <c r="J18" s="11" t="s">
        <v>160</v>
      </c>
      <c r="K18" s="12"/>
    </row>
    <row r="19" ht="25.5" customHeight="1">
      <c r="A19" s="11">
        <v>17.0</v>
      </c>
      <c r="B19" s="11" t="s">
        <v>34</v>
      </c>
      <c r="C19" s="11" t="s">
        <v>35</v>
      </c>
      <c r="D19" s="11" t="s">
        <v>45</v>
      </c>
      <c r="E19" s="11" t="s">
        <v>22</v>
      </c>
      <c r="F19" s="11">
        <v>2.0</v>
      </c>
      <c r="G19" s="12" t="s">
        <v>152</v>
      </c>
      <c r="H19" s="11" t="s">
        <v>158</v>
      </c>
      <c r="I19" s="11">
        <v>0.55</v>
      </c>
      <c r="J19" s="11" t="s">
        <v>161</v>
      </c>
      <c r="K19" s="12"/>
    </row>
    <row r="20" ht="25.5" customHeight="1">
      <c r="A20" s="11">
        <v>18.0</v>
      </c>
      <c r="B20" s="11" t="s">
        <v>34</v>
      </c>
      <c r="C20" s="11" t="s">
        <v>35</v>
      </c>
      <c r="D20" s="11" t="s">
        <v>45</v>
      </c>
      <c r="E20" s="11" t="s">
        <v>43</v>
      </c>
      <c r="F20" s="11">
        <v>2.0</v>
      </c>
      <c r="G20" s="12" t="s">
        <v>156</v>
      </c>
      <c r="H20" s="11" t="s">
        <v>158</v>
      </c>
      <c r="I20" s="11">
        <v>-0.55</v>
      </c>
      <c r="J20" s="11" t="s">
        <v>162</v>
      </c>
      <c r="K20" s="12"/>
    </row>
    <row r="21" ht="25.5" customHeight="1">
      <c r="A21" s="11">
        <v>19.0</v>
      </c>
      <c r="B21" s="11" t="s">
        <v>97</v>
      </c>
      <c r="C21" s="11" t="s">
        <v>37</v>
      </c>
      <c r="D21" s="11" t="s">
        <v>45</v>
      </c>
      <c r="E21" s="11" t="s">
        <v>22</v>
      </c>
      <c r="F21" s="11">
        <v>3.0</v>
      </c>
      <c r="G21" s="12" t="s">
        <v>152</v>
      </c>
      <c r="H21" s="11" t="s">
        <v>158</v>
      </c>
      <c r="I21" s="11">
        <v>-0.45</v>
      </c>
      <c r="J21" s="11" t="s">
        <v>163</v>
      </c>
      <c r="K21" s="12"/>
    </row>
    <row r="22" ht="25.5" customHeight="1">
      <c r="A22" s="11">
        <v>20.0</v>
      </c>
      <c r="B22" s="11" t="s">
        <v>97</v>
      </c>
      <c r="C22" s="11" t="s">
        <v>37</v>
      </c>
      <c r="D22" s="11" t="s">
        <v>45</v>
      </c>
      <c r="E22" s="11" t="s">
        <v>43</v>
      </c>
      <c r="F22" s="11">
        <v>3.0</v>
      </c>
      <c r="G22" s="12" t="s">
        <v>156</v>
      </c>
      <c r="H22" s="11" t="s">
        <v>158</v>
      </c>
      <c r="I22" s="11">
        <v>0.45</v>
      </c>
      <c r="J22" s="11" t="s">
        <v>164</v>
      </c>
      <c r="K22" s="12"/>
    </row>
    <row r="23" ht="25.5" customHeight="1">
      <c r="A23" s="15">
        <v>21.0</v>
      </c>
      <c r="B23" s="15" t="s">
        <v>28</v>
      </c>
      <c r="C23" s="15" t="s">
        <v>20</v>
      </c>
      <c r="D23" s="15" t="s">
        <v>45</v>
      </c>
      <c r="E23" s="15" t="s">
        <v>43</v>
      </c>
      <c r="F23" s="15">
        <v>3.0</v>
      </c>
      <c r="G23" s="16" t="s">
        <v>165</v>
      </c>
      <c r="H23" s="15" t="s">
        <v>166</v>
      </c>
      <c r="I23" s="15">
        <v>-0.04</v>
      </c>
      <c r="J23" s="15" t="s">
        <v>167</v>
      </c>
      <c r="K23" s="16" t="s">
        <v>168</v>
      </c>
    </row>
    <row r="24" ht="25.5" customHeight="1">
      <c r="A24" s="15">
        <v>22.0</v>
      </c>
      <c r="B24" s="15" t="s">
        <v>32</v>
      </c>
      <c r="C24" s="15" t="s">
        <v>30</v>
      </c>
      <c r="D24" s="15" t="s">
        <v>45</v>
      </c>
      <c r="E24" s="15" t="s">
        <v>43</v>
      </c>
      <c r="F24" s="15">
        <v>2.0</v>
      </c>
      <c r="G24" s="16" t="s">
        <v>165</v>
      </c>
      <c r="H24" s="15" t="s">
        <v>166</v>
      </c>
      <c r="I24" s="15">
        <v>-0.03</v>
      </c>
      <c r="J24" s="15" t="s">
        <v>169</v>
      </c>
      <c r="K24" s="16"/>
    </row>
    <row r="25" ht="25.5" customHeight="1">
      <c r="A25" s="19">
        <v>23.0</v>
      </c>
      <c r="B25" s="19" t="s">
        <v>27</v>
      </c>
      <c r="C25" s="19" t="s">
        <v>20</v>
      </c>
      <c r="D25" s="19" t="s">
        <v>21</v>
      </c>
      <c r="E25" s="19" t="s">
        <v>43</v>
      </c>
      <c r="F25" s="19">
        <v>1.0</v>
      </c>
      <c r="G25" s="20" t="s">
        <v>170</v>
      </c>
      <c r="H25" s="19" t="s">
        <v>137</v>
      </c>
      <c r="I25" s="19">
        <v>-0.95</v>
      </c>
      <c r="J25" s="19" t="s">
        <v>171</v>
      </c>
      <c r="K25" s="20" t="s">
        <v>172</v>
      </c>
    </row>
    <row r="26" ht="25.5" customHeight="1">
      <c r="A26" s="22">
        <v>24.0</v>
      </c>
      <c r="B26" s="22" t="s">
        <v>29</v>
      </c>
      <c r="C26" s="22" t="s">
        <v>30</v>
      </c>
      <c r="D26" s="22" t="s">
        <v>45</v>
      </c>
      <c r="E26" s="22" t="s">
        <v>22</v>
      </c>
      <c r="F26" s="22">
        <v>1.0</v>
      </c>
      <c r="G26" s="23" t="s">
        <v>173</v>
      </c>
      <c r="H26" s="22" t="s">
        <v>174</v>
      </c>
      <c r="I26" s="22">
        <v>0.91</v>
      </c>
      <c r="J26" s="22" t="s">
        <v>175</v>
      </c>
      <c r="K26" s="23" t="s">
        <v>176</v>
      </c>
    </row>
    <row r="27" ht="25.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6.0"/>
    <col customWidth="1" min="3" max="3" width="8.0"/>
    <col customWidth="1" min="4" max="4" width="9.0"/>
    <col customWidth="1" min="5" max="5" width="7.0"/>
    <col customWidth="1" min="6" max="6" width="6.0"/>
    <col customWidth="1" min="7" max="7" width="28.0"/>
    <col customWidth="1" min="8" max="8" width="22.0"/>
    <col customWidth="1" min="9" max="9" width="8.0"/>
    <col customWidth="1" min="10" max="10" width="14.0"/>
    <col customWidth="1" min="11" max="11" width="40.0"/>
    <col customWidth="1" min="12" max="26" width="8.71"/>
  </cols>
  <sheetData>
    <row r="1" ht="21.75" customHeight="1">
      <c r="A1" s="38" t="s">
        <v>177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3.75" customHeight="1">
      <c r="A2" s="39" t="s">
        <v>1</v>
      </c>
      <c r="B2" s="39" t="s">
        <v>2</v>
      </c>
      <c r="C2" s="39" t="s">
        <v>3</v>
      </c>
      <c r="D2" s="39" t="s">
        <v>73</v>
      </c>
      <c r="E2" s="39" t="s">
        <v>74</v>
      </c>
      <c r="F2" s="39" t="s">
        <v>75</v>
      </c>
      <c r="G2" s="39" t="s">
        <v>178</v>
      </c>
      <c r="H2" s="39" t="s">
        <v>179</v>
      </c>
      <c r="I2" s="39" t="s">
        <v>78</v>
      </c>
      <c r="J2" s="39" t="s">
        <v>79</v>
      </c>
      <c r="K2" s="39" t="s">
        <v>180</v>
      </c>
    </row>
    <row r="3" ht="25.5" customHeight="1">
      <c r="A3" s="5">
        <v>1.0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1.0</v>
      </c>
      <c r="G3" s="6" t="s">
        <v>181</v>
      </c>
      <c r="H3" s="5" t="s">
        <v>182</v>
      </c>
      <c r="I3" s="5">
        <v>0.95</v>
      </c>
      <c r="J3" s="5" t="s">
        <v>183</v>
      </c>
      <c r="K3" s="6" t="s">
        <v>184</v>
      </c>
    </row>
    <row r="4" ht="25.5" customHeight="1">
      <c r="A4" s="5">
        <v>2.0</v>
      </c>
      <c r="B4" s="5" t="s">
        <v>27</v>
      </c>
      <c r="C4" s="5" t="s">
        <v>20</v>
      </c>
      <c r="D4" s="5" t="s">
        <v>21</v>
      </c>
      <c r="E4" s="5" t="s">
        <v>22</v>
      </c>
      <c r="F4" s="5">
        <v>2.0</v>
      </c>
      <c r="G4" s="6" t="s">
        <v>181</v>
      </c>
      <c r="H4" s="5" t="s">
        <v>185</v>
      </c>
      <c r="I4" s="5">
        <v>0.95</v>
      </c>
      <c r="J4" s="5" t="s">
        <v>186</v>
      </c>
      <c r="K4" s="6" t="s">
        <v>187</v>
      </c>
    </row>
    <row r="5" ht="25.5" customHeight="1">
      <c r="A5" s="5">
        <v>3.0</v>
      </c>
      <c r="B5" s="5" t="s">
        <v>28</v>
      </c>
      <c r="C5" s="5" t="s">
        <v>20</v>
      </c>
      <c r="D5" s="5" t="s">
        <v>21</v>
      </c>
      <c r="E5" s="5" t="s">
        <v>22</v>
      </c>
      <c r="F5" s="5">
        <v>2.0</v>
      </c>
      <c r="G5" s="6" t="s">
        <v>181</v>
      </c>
      <c r="H5" s="5" t="s">
        <v>185</v>
      </c>
      <c r="I5" s="5">
        <v>0.95</v>
      </c>
      <c r="J5" s="5" t="s">
        <v>186</v>
      </c>
      <c r="K5" s="6"/>
    </row>
    <row r="6" ht="25.5" customHeight="1">
      <c r="A6" s="5">
        <v>4.0</v>
      </c>
      <c r="B6" s="5" t="s">
        <v>29</v>
      </c>
      <c r="C6" s="5" t="s">
        <v>30</v>
      </c>
      <c r="D6" s="5" t="s">
        <v>21</v>
      </c>
      <c r="E6" s="5" t="s">
        <v>22</v>
      </c>
      <c r="F6" s="5">
        <v>2.0</v>
      </c>
      <c r="G6" s="6" t="s">
        <v>188</v>
      </c>
      <c r="H6" s="5" t="s">
        <v>189</v>
      </c>
      <c r="I6" s="5">
        <v>0.95</v>
      </c>
      <c r="J6" s="5" t="s">
        <v>190</v>
      </c>
      <c r="K6" s="6" t="s">
        <v>191</v>
      </c>
    </row>
    <row r="7" ht="25.5" customHeight="1">
      <c r="A7" s="5">
        <v>5.0</v>
      </c>
      <c r="B7" s="5" t="s">
        <v>32</v>
      </c>
      <c r="C7" s="5" t="s">
        <v>30</v>
      </c>
      <c r="D7" s="5" t="s">
        <v>21</v>
      </c>
      <c r="E7" s="5" t="s">
        <v>22</v>
      </c>
      <c r="F7" s="5">
        <v>4.0</v>
      </c>
      <c r="G7" s="6" t="s">
        <v>188</v>
      </c>
      <c r="H7" s="5" t="s">
        <v>189</v>
      </c>
      <c r="I7" s="5">
        <v>0.95</v>
      </c>
      <c r="J7" s="5" t="s">
        <v>192</v>
      </c>
      <c r="K7" s="6"/>
    </row>
    <row r="8" ht="25.5" customHeight="1">
      <c r="A8" s="5">
        <v>6.0</v>
      </c>
      <c r="B8" s="5" t="s">
        <v>34</v>
      </c>
      <c r="C8" s="5" t="s">
        <v>35</v>
      </c>
      <c r="D8" s="5" t="s">
        <v>21</v>
      </c>
      <c r="E8" s="5" t="s">
        <v>22</v>
      </c>
      <c r="F8" s="5">
        <v>4.0</v>
      </c>
      <c r="G8" s="6" t="s">
        <v>181</v>
      </c>
      <c r="H8" s="5" t="s">
        <v>185</v>
      </c>
      <c r="I8" s="5">
        <v>0.95</v>
      </c>
      <c r="J8" s="5" t="s">
        <v>193</v>
      </c>
      <c r="K8" s="6"/>
    </row>
    <row r="9" ht="25.5" customHeight="1">
      <c r="A9" s="5">
        <v>7.0</v>
      </c>
      <c r="B9" s="5" t="s">
        <v>36</v>
      </c>
      <c r="C9" s="5" t="s">
        <v>37</v>
      </c>
      <c r="D9" s="5" t="s">
        <v>21</v>
      </c>
      <c r="E9" s="5" t="s">
        <v>22</v>
      </c>
      <c r="F9" s="5">
        <v>2.0</v>
      </c>
      <c r="G9" s="6" t="s">
        <v>188</v>
      </c>
      <c r="H9" s="5" t="s">
        <v>189</v>
      </c>
      <c r="I9" s="5">
        <v>0.95</v>
      </c>
      <c r="J9" s="5" t="s">
        <v>194</v>
      </c>
      <c r="K9" s="6"/>
    </row>
    <row r="10" ht="25.5" customHeight="1">
      <c r="A10" s="5">
        <v>8.0</v>
      </c>
      <c r="B10" s="5" t="s">
        <v>97</v>
      </c>
      <c r="C10" s="5" t="s">
        <v>37</v>
      </c>
      <c r="D10" s="5" t="s">
        <v>21</v>
      </c>
      <c r="E10" s="5" t="s">
        <v>22</v>
      </c>
      <c r="F10" s="5">
        <v>7.0</v>
      </c>
      <c r="G10" s="6" t="s">
        <v>188</v>
      </c>
      <c r="H10" s="5" t="s">
        <v>189</v>
      </c>
      <c r="I10" s="5">
        <v>0.95</v>
      </c>
      <c r="J10" s="5" t="s">
        <v>195</v>
      </c>
      <c r="K10" s="6"/>
    </row>
    <row r="11" ht="25.5" customHeight="1">
      <c r="A11" s="8">
        <v>9.0</v>
      </c>
      <c r="B11" s="8" t="s">
        <v>19</v>
      </c>
      <c r="C11" s="8" t="s">
        <v>20</v>
      </c>
      <c r="D11" s="8" t="s">
        <v>21</v>
      </c>
      <c r="E11" s="8" t="s">
        <v>22</v>
      </c>
      <c r="F11" s="8">
        <v>1.0</v>
      </c>
      <c r="G11" s="9" t="s">
        <v>196</v>
      </c>
      <c r="H11" s="8" t="s">
        <v>197</v>
      </c>
      <c r="I11" s="8">
        <v>0.95</v>
      </c>
      <c r="J11" s="8" t="s">
        <v>198</v>
      </c>
      <c r="K11" s="9" t="s">
        <v>199</v>
      </c>
    </row>
    <row r="12" ht="25.5" customHeight="1">
      <c r="A12" s="8">
        <v>10.0</v>
      </c>
      <c r="B12" s="8" t="s">
        <v>19</v>
      </c>
      <c r="C12" s="8" t="s">
        <v>20</v>
      </c>
      <c r="D12" s="8" t="s">
        <v>21</v>
      </c>
      <c r="E12" s="8" t="s">
        <v>43</v>
      </c>
      <c r="F12" s="8">
        <v>1.0</v>
      </c>
      <c r="G12" s="9" t="s">
        <v>196</v>
      </c>
      <c r="H12" s="8" t="s">
        <v>197</v>
      </c>
      <c r="I12" s="8">
        <v>-0.95</v>
      </c>
      <c r="J12" s="8" t="s">
        <v>198</v>
      </c>
      <c r="K12" s="9"/>
    </row>
    <row r="13" ht="25.5" customHeight="1">
      <c r="A13" s="8">
        <v>11.0</v>
      </c>
      <c r="B13" s="8" t="s">
        <v>32</v>
      </c>
      <c r="C13" s="8" t="s">
        <v>30</v>
      </c>
      <c r="D13" s="8" t="s">
        <v>21</v>
      </c>
      <c r="E13" s="8" t="s">
        <v>22</v>
      </c>
      <c r="F13" s="8">
        <v>2.0</v>
      </c>
      <c r="G13" s="9" t="s">
        <v>196</v>
      </c>
      <c r="H13" s="8" t="s">
        <v>200</v>
      </c>
      <c r="I13" s="8">
        <v>0.95</v>
      </c>
      <c r="J13" s="8" t="s">
        <v>201</v>
      </c>
      <c r="K13" s="9"/>
    </row>
    <row r="14" ht="25.5" customHeight="1">
      <c r="A14" s="8">
        <v>12.0</v>
      </c>
      <c r="B14" s="8" t="s">
        <v>32</v>
      </c>
      <c r="C14" s="8" t="s">
        <v>30</v>
      </c>
      <c r="D14" s="8" t="s">
        <v>21</v>
      </c>
      <c r="E14" s="8" t="s">
        <v>43</v>
      </c>
      <c r="F14" s="8">
        <v>2.0</v>
      </c>
      <c r="G14" s="9" t="s">
        <v>196</v>
      </c>
      <c r="H14" s="8" t="s">
        <v>200</v>
      </c>
      <c r="I14" s="8">
        <v>-0.95</v>
      </c>
      <c r="J14" s="8" t="s">
        <v>201</v>
      </c>
      <c r="K14" s="9"/>
    </row>
    <row r="15" ht="25.5" customHeight="1">
      <c r="A15" s="11">
        <v>13.0</v>
      </c>
      <c r="B15" s="11" t="s">
        <v>28</v>
      </c>
      <c r="C15" s="11" t="s">
        <v>20</v>
      </c>
      <c r="D15" s="11" t="s">
        <v>45</v>
      </c>
      <c r="E15" s="11" t="s">
        <v>22</v>
      </c>
      <c r="F15" s="11">
        <v>1.0</v>
      </c>
      <c r="G15" s="12" t="s">
        <v>202</v>
      </c>
      <c r="H15" s="11" t="s">
        <v>203</v>
      </c>
      <c r="I15" s="11">
        <v>0.52</v>
      </c>
      <c r="J15" s="11" t="s">
        <v>204</v>
      </c>
      <c r="K15" s="12" t="s">
        <v>205</v>
      </c>
    </row>
    <row r="16" ht="25.5" customHeight="1">
      <c r="A16" s="11">
        <v>14.0</v>
      </c>
      <c r="B16" s="11" t="s">
        <v>28</v>
      </c>
      <c r="C16" s="11" t="s">
        <v>20</v>
      </c>
      <c r="D16" s="11" t="s">
        <v>45</v>
      </c>
      <c r="E16" s="11" t="s">
        <v>43</v>
      </c>
      <c r="F16" s="11">
        <v>2.0</v>
      </c>
      <c r="G16" s="12" t="s">
        <v>206</v>
      </c>
      <c r="H16" s="11" t="s">
        <v>203</v>
      </c>
      <c r="I16" s="11">
        <v>-0.38</v>
      </c>
      <c r="J16" s="11" t="s">
        <v>207</v>
      </c>
      <c r="K16" s="12"/>
    </row>
    <row r="17" ht="25.5" customHeight="1">
      <c r="A17" s="11">
        <v>15.0</v>
      </c>
      <c r="B17" s="11" t="s">
        <v>29</v>
      </c>
      <c r="C17" s="11" t="s">
        <v>30</v>
      </c>
      <c r="D17" s="11" t="s">
        <v>45</v>
      </c>
      <c r="E17" s="11" t="s">
        <v>22</v>
      </c>
      <c r="F17" s="11">
        <v>1.0</v>
      </c>
      <c r="G17" s="12" t="s">
        <v>202</v>
      </c>
      <c r="H17" s="11" t="s">
        <v>203</v>
      </c>
      <c r="I17" s="11">
        <v>-0.48</v>
      </c>
      <c r="J17" s="11" t="s">
        <v>208</v>
      </c>
      <c r="K17" s="12"/>
    </row>
    <row r="18" ht="25.5" customHeight="1">
      <c r="A18" s="11">
        <v>16.0</v>
      </c>
      <c r="B18" s="11" t="s">
        <v>29</v>
      </c>
      <c r="C18" s="11" t="s">
        <v>30</v>
      </c>
      <c r="D18" s="11" t="s">
        <v>45</v>
      </c>
      <c r="E18" s="11" t="s">
        <v>43</v>
      </c>
      <c r="F18" s="11">
        <v>1.0</v>
      </c>
      <c r="G18" s="12" t="s">
        <v>206</v>
      </c>
      <c r="H18" s="11" t="s">
        <v>203</v>
      </c>
      <c r="I18" s="11">
        <v>0.48</v>
      </c>
      <c r="J18" s="11" t="s">
        <v>209</v>
      </c>
      <c r="K18" s="12"/>
    </row>
    <row r="19" ht="25.5" customHeight="1">
      <c r="A19" s="11">
        <v>17.0</v>
      </c>
      <c r="B19" s="11" t="s">
        <v>34</v>
      </c>
      <c r="C19" s="11" t="s">
        <v>35</v>
      </c>
      <c r="D19" s="11" t="s">
        <v>45</v>
      </c>
      <c r="E19" s="11" t="s">
        <v>22</v>
      </c>
      <c r="F19" s="11">
        <v>2.0</v>
      </c>
      <c r="G19" s="12" t="s">
        <v>202</v>
      </c>
      <c r="H19" s="11" t="s">
        <v>203</v>
      </c>
      <c r="I19" s="11">
        <v>0.55</v>
      </c>
      <c r="J19" s="11" t="s">
        <v>210</v>
      </c>
      <c r="K19" s="12"/>
    </row>
    <row r="20" ht="25.5" customHeight="1">
      <c r="A20" s="11">
        <v>18.0</v>
      </c>
      <c r="B20" s="11" t="s">
        <v>34</v>
      </c>
      <c r="C20" s="11" t="s">
        <v>35</v>
      </c>
      <c r="D20" s="11" t="s">
        <v>45</v>
      </c>
      <c r="E20" s="11" t="s">
        <v>43</v>
      </c>
      <c r="F20" s="11">
        <v>2.0</v>
      </c>
      <c r="G20" s="12" t="s">
        <v>206</v>
      </c>
      <c r="H20" s="11" t="s">
        <v>203</v>
      </c>
      <c r="I20" s="11">
        <v>-0.55</v>
      </c>
      <c r="J20" s="11" t="s">
        <v>211</v>
      </c>
      <c r="K20" s="12"/>
    </row>
    <row r="21" ht="25.5" customHeight="1">
      <c r="A21" s="11">
        <v>19.0</v>
      </c>
      <c r="B21" s="11" t="s">
        <v>97</v>
      </c>
      <c r="C21" s="11" t="s">
        <v>37</v>
      </c>
      <c r="D21" s="11" t="s">
        <v>45</v>
      </c>
      <c r="E21" s="11" t="s">
        <v>22</v>
      </c>
      <c r="F21" s="11">
        <v>3.0</v>
      </c>
      <c r="G21" s="12" t="s">
        <v>202</v>
      </c>
      <c r="H21" s="11" t="s">
        <v>203</v>
      </c>
      <c r="I21" s="11">
        <v>-0.45</v>
      </c>
      <c r="J21" s="11" t="s">
        <v>212</v>
      </c>
      <c r="K21" s="12"/>
    </row>
    <row r="22" ht="25.5" customHeight="1">
      <c r="A22" s="11">
        <v>20.0</v>
      </c>
      <c r="B22" s="11" t="s">
        <v>97</v>
      </c>
      <c r="C22" s="11" t="s">
        <v>37</v>
      </c>
      <c r="D22" s="11" t="s">
        <v>45</v>
      </c>
      <c r="E22" s="11" t="s">
        <v>43</v>
      </c>
      <c r="F22" s="11">
        <v>3.0</v>
      </c>
      <c r="G22" s="12" t="s">
        <v>206</v>
      </c>
      <c r="H22" s="11" t="s">
        <v>203</v>
      </c>
      <c r="I22" s="11">
        <v>0.45</v>
      </c>
      <c r="J22" s="11" t="s">
        <v>213</v>
      </c>
      <c r="K22" s="12"/>
    </row>
    <row r="23" ht="25.5" customHeight="1">
      <c r="A23" s="15">
        <v>21.0</v>
      </c>
      <c r="B23" s="15" t="s">
        <v>28</v>
      </c>
      <c r="C23" s="15" t="s">
        <v>20</v>
      </c>
      <c r="D23" s="15" t="s">
        <v>45</v>
      </c>
      <c r="E23" s="15" t="s">
        <v>43</v>
      </c>
      <c r="F23" s="15">
        <v>3.0</v>
      </c>
      <c r="G23" s="16" t="s">
        <v>214</v>
      </c>
      <c r="H23" s="15" t="s">
        <v>215</v>
      </c>
      <c r="I23" s="15">
        <v>-0.04</v>
      </c>
      <c r="J23" s="15" t="s">
        <v>216</v>
      </c>
      <c r="K23" s="16" t="s">
        <v>217</v>
      </c>
    </row>
    <row r="24" ht="25.5" customHeight="1">
      <c r="A24" s="15">
        <v>22.0</v>
      </c>
      <c r="B24" s="15" t="s">
        <v>32</v>
      </c>
      <c r="C24" s="15" t="s">
        <v>30</v>
      </c>
      <c r="D24" s="15" t="s">
        <v>45</v>
      </c>
      <c r="E24" s="15" t="s">
        <v>43</v>
      </c>
      <c r="F24" s="15">
        <v>2.0</v>
      </c>
      <c r="G24" s="16" t="s">
        <v>214</v>
      </c>
      <c r="H24" s="15" t="s">
        <v>215</v>
      </c>
      <c r="I24" s="15">
        <v>-0.03</v>
      </c>
      <c r="J24" s="15" t="s">
        <v>218</v>
      </c>
      <c r="K24" s="16"/>
    </row>
    <row r="25" ht="25.5" customHeight="1">
      <c r="A25" s="19">
        <v>23.0</v>
      </c>
      <c r="B25" s="19" t="s">
        <v>27</v>
      </c>
      <c r="C25" s="19" t="s">
        <v>20</v>
      </c>
      <c r="D25" s="19" t="s">
        <v>21</v>
      </c>
      <c r="E25" s="19" t="s">
        <v>43</v>
      </c>
      <c r="F25" s="19">
        <v>1.0</v>
      </c>
      <c r="G25" s="20" t="s">
        <v>219</v>
      </c>
      <c r="H25" s="19" t="s">
        <v>189</v>
      </c>
      <c r="I25" s="19">
        <v>-0.95</v>
      </c>
      <c r="J25" s="19" t="s">
        <v>220</v>
      </c>
      <c r="K25" s="20" t="s">
        <v>221</v>
      </c>
    </row>
    <row r="26" ht="25.5" customHeight="1">
      <c r="A26" s="22">
        <v>24.0</v>
      </c>
      <c r="B26" s="22" t="s">
        <v>29</v>
      </c>
      <c r="C26" s="22" t="s">
        <v>30</v>
      </c>
      <c r="D26" s="22" t="s">
        <v>45</v>
      </c>
      <c r="E26" s="22" t="s">
        <v>22</v>
      </c>
      <c r="F26" s="22">
        <v>1.0</v>
      </c>
      <c r="G26" s="23" t="s">
        <v>222</v>
      </c>
      <c r="H26" s="22" t="s">
        <v>223</v>
      </c>
      <c r="I26" s="22">
        <v>0.91</v>
      </c>
      <c r="J26" s="22" t="s">
        <v>224</v>
      </c>
      <c r="K26" s="23" t="s">
        <v>225</v>
      </c>
    </row>
    <row r="27" ht="25.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0"/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4" width="22.0"/>
    <col customWidth="1" min="5" max="7" width="14.0"/>
    <col customWidth="1" min="8" max="8" width="50.0"/>
    <col customWidth="1" min="9" max="26" width="8.71"/>
  </cols>
  <sheetData>
    <row r="1" ht="24.0" customHeight="1">
      <c r="A1" s="40" t="s">
        <v>226</v>
      </c>
      <c r="B1" s="2"/>
      <c r="C1" s="2"/>
      <c r="D1" s="2"/>
      <c r="E1" s="2"/>
      <c r="F1" s="2"/>
      <c r="G1" s="2"/>
      <c r="H1" s="3"/>
    </row>
    <row r="2" ht="19.5" customHeight="1">
      <c r="A2" s="41" t="s">
        <v>227</v>
      </c>
      <c r="B2" s="2"/>
      <c r="C2" s="2"/>
      <c r="D2" s="2"/>
      <c r="E2" s="2"/>
      <c r="F2" s="2"/>
      <c r="G2" s="2"/>
      <c r="H2" s="3"/>
    </row>
    <row r="3" ht="27.75" customHeight="1">
      <c r="A3" s="42" t="s">
        <v>1</v>
      </c>
      <c r="B3" s="42" t="s">
        <v>2</v>
      </c>
      <c r="C3" s="42" t="s">
        <v>73</v>
      </c>
      <c r="D3" s="42" t="s">
        <v>74</v>
      </c>
      <c r="E3" s="42" t="s">
        <v>75</v>
      </c>
      <c r="F3" s="42" t="s">
        <v>228</v>
      </c>
      <c r="G3" s="42" t="s">
        <v>229</v>
      </c>
      <c r="H3" s="42" t="s">
        <v>230</v>
      </c>
    </row>
    <row r="4">
      <c r="A4" s="5">
        <v>1.0</v>
      </c>
      <c r="B4" s="6" t="s">
        <v>19</v>
      </c>
      <c r="C4" s="5" t="s">
        <v>21</v>
      </c>
      <c r="D4" s="5" t="s">
        <v>22</v>
      </c>
      <c r="E4" s="5">
        <v>1.0</v>
      </c>
      <c r="F4" s="7">
        <v>80500.0</v>
      </c>
      <c r="G4" s="7">
        <v>76500.0</v>
      </c>
      <c r="H4" s="7">
        <v>72000.0</v>
      </c>
    </row>
    <row r="5">
      <c r="A5" s="5">
        <v>2.0</v>
      </c>
      <c r="B5" s="6" t="s">
        <v>27</v>
      </c>
      <c r="C5" s="5" t="s">
        <v>21</v>
      </c>
      <c r="D5" s="5" t="s">
        <v>22</v>
      </c>
      <c r="E5" s="5">
        <v>2.0</v>
      </c>
      <c r="F5" s="7">
        <v>133500.0</v>
      </c>
      <c r="G5" s="7">
        <v>127000.0</v>
      </c>
      <c r="H5" s="7">
        <v>120000.0</v>
      </c>
    </row>
    <row r="6">
      <c r="A6" s="5">
        <v>3.0</v>
      </c>
      <c r="B6" s="6" t="s">
        <v>28</v>
      </c>
      <c r="C6" s="5" t="s">
        <v>21</v>
      </c>
      <c r="D6" s="5" t="s">
        <v>22</v>
      </c>
      <c r="E6" s="5">
        <v>2.0</v>
      </c>
      <c r="F6" s="7">
        <v>134100.0</v>
      </c>
      <c r="G6" s="7">
        <v>127500.0</v>
      </c>
      <c r="H6" s="7">
        <v>120000.0</v>
      </c>
    </row>
    <row r="7">
      <c r="A7" s="5">
        <v>4.0</v>
      </c>
      <c r="B7" s="6" t="s">
        <v>29</v>
      </c>
      <c r="C7" s="5" t="s">
        <v>21</v>
      </c>
      <c r="D7" s="5" t="s">
        <v>22</v>
      </c>
      <c r="E7" s="5">
        <v>2.0</v>
      </c>
      <c r="F7" s="7">
        <v>107560.0</v>
      </c>
      <c r="G7" s="7">
        <v>102100.0</v>
      </c>
      <c r="H7" s="7">
        <v>96800.0</v>
      </c>
    </row>
    <row r="8">
      <c r="A8" s="5">
        <v>5.0</v>
      </c>
      <c r="B8" s="6" t="s">
        <v>32</v>
      </c>
      <c r="C8" s="5" t="s">
        <v>21</v>
      </c>
      <c r="D8" s="5" t="s">
        <v>22</v>
      </c>
      <c r="E8" s="5">
        <v>4.0</v>
      </c>
      <c r="F8" s="7">
        <v>114300.0</v>
      </c>
      <c r="G8" s="7">
        <v>108600.0</v>
      </c>
      <c r="H8" s="7">
        <v>102900.0</v>
      </c>
    </row>
    <row r="9">
      <c r="A9" s="5">
        <v>6.0</v>
      </c>
      <c r="B9" s="6" t="s">
        <v>34</v>
      </c>
      <c r="C9" s="5" t="s">
        <v>21</v>
      </c>
      <c r="D9" s="5" t="s">
        <v>22</v>
      </c>
      <c r="E9" s="5">
        <v>4.0</v>
      </c>
      <c r="F9" s="7">
        <v>127840.0</v>
      </c>
      <c r="G9" s="7">
        <v>121400.0</v>
      </c>
      <c r="H9" s="7">
        <v>115100.0</v>
      </c>
    </row>
    <row r="10">
      <c r="A10" s="5">
        <v>7.0</v>
      </c>
      <c r="B10" s="6" t="s">
        <v>36</v>
      </c>
      <c r="C10" s="5" t="s">
        <v>21</v>
      </c>
      <c r="D10" s="5" t="s">
        <v>22</v>
      </c>
      <c r="E10" s="5">
        <v>2.0</v>
      </c>
      <c r="F10" s="7">
        <v>71340.0</v>
      </c>
      <c r="G10" s="7">
        <v>67800.0</v>
      </c>
      <c r="H10" s="7">
        <v>64200.0</v>
      </c>
    </row>
    <row r="11">
      <c r="A11" s="5">
        <v>8.0</v>
      </c>
      <c r="B11" s="6" t="s">
        <v>97</v>
      </c>
      <c r="C11" s="5" t="s">
        <v>21</v>
      </c>
      <c r="D11" s="5" t="s">
        <v>22</v>
      </c>
      <c r="E11" s="5">
        <v>7.0</v>
      </c>
      <c r="F11" s="7">
        <v>47096.0</v>
      </c>
      <c r="G11" s="7">
        <v>44700.0</v>
      </c>
      <c r="H11" s="7">
        <v>42400.0</v>
      </c>
    </row>
    <row r="12">
      <c r="A12" s="8">
        <v>9.0</v>
      </c>
      <c r="B12" s="9" t="s">
        <v>231</v>
      </c>
      <c r="C12" s="8" t="s">
        <v>21</v>
      </c>
      <c r="D12" s="8" t="s">
        <v>22</v>
      </c>
      <c r="E12" s="8">
        <v>1.0</v>
      </c>
      <c r="F12" s="10">
        <v>16100.0</v>
      </c>
      <c r="G12" s="10">
        <v>14500.0</v>
      </c>
      <c r="H12" s="10">
        <v>12800.0</v>
      </c>
    </row>
    <row r="13">
      <c r="A13" s="8">
        <v>10.0</v>
      </c>
      <c r="B13" s="9" t="s">
        <v>231</v>
      </c>
      <c r="C13" s="8" t="s">
        <v>21</v>
      </c>
      <c r="D13" s="8" t="s">
        <v>43</v>
      </c>
      <c r="E13" s="8">
        <v>1.0</v>
      </c>
      <c r="F13" s="10">
        <v>16100.0</v>
      </c>
      <c r="G13" s="10">
        <v>14500.0</v>
      </c>
      <c r="H13" s="10">
        <v>12800.0</v>
      </c>
    </row>
    <row r="14">
      <c r="A14" s="8">
        <v>11.0</v>
      </c>
      <c r="B14" s="9" t="s">
        <v>232</v>
      </c>
      <c r="C14" s="8" t="s">
        <v>21</v>
      </c>
      <c r="D14" s="8" t="s">
        <v>22</v>
      </c>
      <c r="E14" s="8">
        <v>2.0</v>
      </c>
      <c r="F14" s="10">
        <v>11500.0</v>
      </c>
      <c r="G14" s="10">
        <v>10300.0</v>
      </c>
      <c r="H14" s="10">
        <v>9100.0</v>
      </c>
    </row>
    <row r="15">
      <c r="A15" s="8">
        <v>12.0</v>
      </c>
      <c r="B15" s="9" t="s">
        <v>232</v>
      </c>
      <c r="C15" s="8" t="s">
        <v>21</v>
      </c>
      <c r="D15" s="8" t="s">
        <v>43</v>
      </c>
      <c r="E15" s="8">
        <v>2.0</v>
      </c>
      <c r="F15" s="10">
        <v>11500.0</v>
      </c>
      <c r="G15" s="10">
        <v>10300.0</v>
      </c>
      <c r="H15" s="10">
        <v>9100.0</v>
      </c>
    </row>
    <row r="16">
      <c r="A16" s="11">
        <v>13.0</v>
      </c>
      <c r="B16" s="12" t="s">
        <v>28</v>
      </c>
      <c r="C16" s="11" t="s">
        <v>45</v>
      </c>
      <c r="D16" s="11" t="s">
        <v>22</v>
      </c>
      <c r="E16" s="11">
        <v>1.0</v>
      </c>
      <c r="F16" s="14">
        <v>46200.0</v>
      </c>
      <c r="G16" s="14">
        <v>43400.0</v>
      </c>
      <c r="H16" s="14">
        <v>40800.0</v>
      </c>
    </row>
    <row r="17">
      <c r="A17" s="11">
        <v>14.0</v>
      </c>
      <c r="B17" s="12" t="s">
        <v>28</v>
      </c>
      <c r="C17" s="11" t="s">
        <v>45</v>
      </c>
      <c r="D17" s="11" t="s">
        <v>43</v>
      </c>
      <c r="E17" s="11">
        <v>2.0</v>
      </c>
      <c r="F17" s="14">
        <v>79200.0</v>
      </c>
      <c r="G17" s="14">
        <v>74800.0</v>
      </c>
      <c r="H17" s="14">
        <v>70200.0</v>
      </c>
    </row>
    <row r="18">
      <c r="A18" s="11">
        <v>15.0</v>
      </c>
      <c r="B18" s="12" t="s">
        <v>29</v>
      </c>
      <c r="C18" s="11" t="s">
        <v>45</v>
      </c>
      <c r="D18" s="11" t="s">
        <v>22</v>
      </c>
      <c r="E18" s="11">
        <v>1.0</v>
      </c>
      <c r="F18" s="14">
        <v>30000.0</v>
      </c>
      <c r="G18" s="14">
        <v>28200.0</v>
      </c>
      <c r="H18" s="14">
        <v>26500.0</v>
      </c>
    </row>
    <row r="19">
      <c r="A19" s="11">
        <v>16.0</v>
      </c>
      <c r="B19" s="12" t="s">
        <v>29</v>
      </c>
      <c r="C19" s="11" t="s">
        <v>45</v>
      </c>
      <c r="D19" s="11" t="s">
        <v>43</v>
      </c>
      <c r="E19" s="11">
        <v>1.0</v>
      </c>
      <c r="F19" s="14">
        <v>24000.0</v>
      </c>
      <c r="G19" s="14">
        <v>22600.0</v>
      </c>
      <c r="H19" s="14">
        <v>21200.0</v>
      </c>
    </row>
    <row r="20">
      <c r="A20" s="11">
        <v>17.0</v>
      </c>
      <c r="B20" s="12" t="s">
        <v>34</v>
      </c>
      <c r="C20" s="11" t="s">
        <v>45</v>
      </c>
      <c r="D20" s="11" t="s">
        <v>22</v>
      </c>
      <c r="E20" s="11">
        <v>2.0</v>
      </c>
      <c r="F20" s="14">
        <v>75000.0</v>
      </c>
      <c r="G20" s="14">
        <v>70800.0</v>
      </c>
      <c r="H20" s="14">
        <v>66500.0</v>
      </c>
    </row>
    <row r="21" ht="15.75" customHeight="1">
      <c r="A21" s="11">
        <v>18.0</v>
      </c>
      <c r="B21" s="12" t="s">
        <v>34</v>
      </c>
      <c r="C21" s="11" t="s">
        <v>45</v>
      </c>
      <c r="D21" s="11" t="s">
        <v>43</v>
      </c>
      <c r="E21" s="11">
        <v>2.0</v>
      </c>
      <c r="F21" s="14">
        <v>60000.0</v>
      </c>
      <c r="G21" s="14">
        <v>56600.0</v>
      </c>
      <c r="H21" s="14">
        <v>53200.0</v>
      </c>
    </row>
    <row r="22" ht="15.75" customHeight="1">
      <c r="A22" s="11">
        <v>19.0</v>
      </c>
      <c r="B22" s="12" t="s">
        <v>97</v>
      </c>
      <c r="C22" s="11" t="s">
        <v>45</v>
      </c>
      <c r="D22" s="11" t="s">
        <v>22</v>
      </c>
      <c r="E22" s="11">
        <v>3.0</v>
      </c>
      <c r="F22" s="14">
        <v>9600.0</v>
      </c>
      <c r="G22" s="14">
        <v>9000.0</v>
      </c>
      <c r="H22" s="14">
        <v>8500.0</v>
      </c>
    </row>
    <row r="23" ht="15.75" customHeight="1">
      <c r="A23" s="11">
        <v>20.0</v>
      </c>
      <c r="B23" s="12" t="s">
        <v>97</v>
      </c>
      <c r="C23" s="11" t="s">
        <v>45</v>
      </c>
      <c r="D23" s="11" t="s">
        <v>43</v>
      </c>
      <c r="E23" s="11">
        <v>3.0</v>
      </c>
      <c r="F23" s="14">
        <v>7800.0</v>
      </c>
      <c r="G23" s="14">
        <v>7300.0</v>
      </c>
      <c r="H23" s="14">
        <v>6900.0</v>
      </c>
    </row>
    <row r="24" ht="15.75" customHeight="1">
      <c r="A24" s="15">
        <v>21.0</v>
      </c>
      <c r="B24" s="16" t="s">
        <v>28</v>
      </c>
      <c r="C24" s="15" t="s">
        <v>45</v>
      </c>
      <c r="D24" s="15" t="s">
        <v>43</v>
      </c>
      <c r="E24" s="15">
        <v>3.0</v>
      </c>
      <c r="F24" s="18">
        <v>7650.0</v>
      </c>
      <c r="G24" s="18">
        <v>7150.0</v>
      </c>
      <c r="H24" s="18">
        <v>6500.0</v>
      </c>
    </row>
    <row r="25" ht="15.75" customHeight="1">
      <c r="A25" s="15">
        <v>22.0</v>
      </c>
      <c r="B25" s="16" t="s">
        <v>32</v>
      </c>
      <c r="C25" s="15" t="s">
        <v>45</v>
      </c>
      <c r="D25" s="15" t="s">
        <v>43</v>
      </c>
      <c r="E25" s="15">
        <v>2.0</v>
      </c>
      <c r="F25" s="18">
        <v>5715.0</v>
      </c>
      <c r="G25" s="18">
        <v>5400.0</v>
      </c>
      <c r="H25" s="18">
        <v>5100.0</v>
      </c>
    </row>
    <row r="26" ht="15.75" customHeight="1">
      <c r="A26" s="19">
        <v>23.0</v>
      </c>
      <c r="B26" s="20" t="s">
        <v>27</v>
      </c>
      <c r="C26" s="19" t="s">
        <v>21</v>
      </c>
      <c r="D26" s="19" t="s">
        <v>43</v>
      </c>
      <c r="E26" s="19">
        <v>1.0</v>
      </c>
      <c r="F26" s="21">
        <v>66750.0</v>
      </c>
      <c r="G26" s="21">
        <v>56200.0</v>
      </c>
      <c r="H26" s="21">
        <v>48000.0</v>
      </c>
    </row>
    <row r="27" ht="15.75" customHeight="1">
      <c r="A27" s="22">
        <v>24.0</v>
      </c>
      <c r="B27" s="23" t="s">
        <v>29</v>
      </c>
      <c r="C27" s="22" t="s">
        <v>45</v>
      </c>
      <c r="D27" s="22" t="s">
        <v>22</v>
      </c>
      <c r="E27" s="22">
        <v>1.0</v>
      </c>
      <c r="F27" s="25">
        <v>105000.0</v>
      </c>
      <c r="G27" s="25">
        <v>98000.0</v>
      </c>
      <c r="H27" s="25">
        <v>89000.0</v>
      </c>
    </row>
    <row r="28" ht="21.75" customHeight="1">
      <c r="A28" s="43"/>
      <c r="B28" s="44" t="s">
        <v>233</v>
      </c>
      <c r="C28" s="43"/>
      <c r="D28" s="43"/>
      <c r="E28" s="43"/>
      <c r="F28" s="45">
        <v>1388351.0</v>
      </c>
      <c r="G28" s="45">
        <v>1304650.0</v>
      </c>
      <c r="H28" s="45">
        <v>1219600.0</v>
      </c>
    </row>
    <row r="29" ht="15.75" customHeight="1"/>
    <row r="30" ht="19.5" customHeight="1">
      <c r="A30" s="46" t="s">
        <v>234</v>
      </c>
      <c r="B30" s="2"/>
      <c r="C30" s="2"/>
      <c r="D30" s="2"/>
      <c r="E30" s="2"/>
      <c r="F30" s="2"/>
      <c r="G30" s="2"/>
      <c r="H30" s="3"/>
    </row>
    <row r="31" ht="27.75" customHeight="1">
      <c r="A31" s="42" t="s">
        <v>235</v>
      </c>
      <c r="B31" s="42" t="s">
        <v>236</v>
      </c>
      <c r="C31" s="42" t="s">
        <v>237</v>
      </c>
      <c r="D31" s="42" t="s">
        <v>64</v>
      </c>
      <c r="E31" s="42" t="s">
        <v>238</v>
      </c>
    </row>
    <row r="32" ht="42.0" customHeight="1">
      <c r="A32" s="47" t="s">
        <v>239</v>
      </c>
      <c r="B32" s="47" t="s">
        <v>240</v>
      </c>
      <c r="C32" s="47" t="s">
        <v>241</v>
      </c>
      <c r="D32" s="47" t="s">
        <v>242</v>
      </c>
      <c r="E32" s="47" t="s">
        <v>243</v>
      </c>
    </row>
    <row r="33" ht="42.0" customHeight="1">
      <c r="A33" s="48" t="s">
        <v>244</v>
      </c>
      <c r="B33" s="48" t="s">
        <v>245</v>
      </c>
      <c r="C33" s="48" t="s">
        <v>246</v>
      </c>
      <c r="D33" s="48" t="s">
        <v>247</v>
      </c>
      <c r="E33" s="48" t="s">
        <v>248</v>
      </c>
    </row>
    <row r="34" ht="42.0" customHeight="1">
      <c r="A34" s="47" t="s">
        <v>249</v>
      </c>
      <c r="B34" s="47" t="s">
        <v>250</v>
      </c>
      <c r="C34" s="47" t="s">
        <v>251</v>
      </c>
      <c r="D34" s="47" t="s">
        <v>252</v>
      </c>
      <c r="E34" s="47" t="s">
        <v>253</v>
      </c>
    </row>
    <row r="35" ht="42.0" customHeight="1">
      <c r="A35" s="48" t="s">
        <v>254</v>
      </c>
      <c r="B35" s="48" t="s">
        <v>255</v>
      </c>
      <c r="C35" s="48" t="s">
        <v>256</v>
      </c>
      <c r="D35" s="48" t="s">
        <v>257</v>
      </c>
      <c r="E35" s="48" t="s">
        <v>258</v>
      </c>
    </row>
    <row r="36" ht="42.0" customHeight="1">
      <c r="A36" s="47" t="s">
        <v>259</v>
      </c>
      <c r="B36" s="47" t="s">
        <v>260</v>
      </c>
      <c r="C36" s="47" t="s">
        <v>261</v>
      </c>
      <c r="D36" s="47" t="s">
        <v>262</v>
      </c>
      <c r="E36" s="47" t="s">
        <v>263</v>
      </c>
    </row>
    <row r="37" ht="42.0" customHeight="1">
      <c r="A37" s="48" t="s">
        <v>264</v>
      </c>
      <c r="B37" s="48" t="s">
        <v>265</v>
      </c>
      <c r="C37" s="48" t="s">
        <v>266</v>
      </c>
      <c r="D37" s="48" t="s">
        <v>267</v>
      </c>
      <c r="E37" s="48" t="s">
        <v>268</v>
      </c>
    </row>
    <row r="38" ht="42.0" customHeight="1">
      <c r="A38" s="47" t="s">
        <v>269</v>
      </c>
      <c r="B38" s="47" t="s">
        <v>270</v>
      </c>
      <c r="C38" s="47" t="s">
        <v>271</v>
      </c>
      <c r="D38" s="47" t="s">
        <v>272</v>
      </c>
      <c r="E38" s="47" t="s">
        <v>273</v>
      </c>
    </row>
    <row r="39" ht="42.0" customHeight="1">
      <c r="A39" s="48" t="s">
        <v>274</v>
      </c>
      <c r="B39" s="48" t="s">
        <v>275</v>
      </c>
      <c r="C39" s="48" t="s">
        <v>276</v>
      </c>
      <c r="D39" s="48" t="s">
        <v>277</v>
      </c>
      <c r="E39" s="48" t="s">
        <v>278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0:H3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3" width="32.0"/>
    <col customWidth="1" min="4" max="6" width="22.0"/>
    <col customWidth="1" min="7" max="26" width="8.71"/>
  </cols>
  <sheetData>
    <row r="1" ht="21.75" customHeight="1">
      <c r="A1" s="49" t="s">
        <v>279</v>
      </c>
      <c r="B1" s="2"/>
      <c r="C1" s="2"/>
      <c r="D1" s="2"/>
      <c r="E1" s="3"/>
    </row>
    <row r="2" ht="27.75" customHeight="1">
      <c r="A2" s="50" t="s">
        <v>280</v>
      </c>
      <c r="B2" s="50" t="s">
        <v>281</v>
      </c>
      <c r="C2" s="50" t="s">
        <v>282</v>
      </c>
      <c r="D2" s="50" t="s">
        <v>236</v>
      </c>
      <c r="E2" s="50" t="s">
        <v>237</v>
      </c>
      <c r="F2" s="50" t="s">
        <v>64</v>
      </c>
    </row>
    <row r="3" ht="30.0" customHeight="1">
      <c r="A3" s="47" t="s">
        <v>283</v>
      </c>
      <c r="B3" s="47" t="s">
        <v>284</v>
      </c>
      <c r="C3" s="47" t="s">
        <v>285</v>
      </c>
      <c r="D3" s="51" t="s">
        <v>286</v>
      </c>
      <c r="E3" s="51" t="s">
        <v>287</v>
      </c>
      <c r="F3" s="51" t="s">
        <v>288</v>
      </c>
    </row>
    <row r="4" ht="30.0" customHeight="1">
      <c r="A4" s="52" t="s">
        <v>289</v>
      </c>
      <c r="B4" s="52" t="s">
        <v>290</v>
      </c>
      <c r="C4" s="52" t="s">
        <v>291</v>
      </c>
      <c r="D4" s="53" t="s">
        <v>292</v>
      </c>
      <c r="E4" s="53" t="s">
        <v>293</v>
      </c>
      <c r="F4" s="53" t="s">
        <v>294</v>
      </c>
    </row>
    <row r="5" ht="30.0" customHeight="1">
      <c r="A5" s="47" t="s">
        <v>295</v>
      </c>
      <c r="B5" s="47" t="s">
        <v>296</v>
      </c>
      <c r="C5" s="47" t="s">
        <v>291</v>
      </c>
      <c r="D5" s="51" t="s">
        <v>292</v>
      </c>
      <c r="E5" s="51" t="s">
        <v>293</v>
      </c>
      <c r="F5" s="51" t="s">
        <v>294</v>
      </c>
    </row>
    <row r="6" ht="30.0" customHeight="1">
      <c r="A6" s="52" t="s">
        <v>297</v>
      </c>
      <c r="B6" s="52" t="s">
        <v>298</v>
      </c>
      <c r="C6" s="52" t="s">
        <v>299</v>
      </c>
      <c r="D6" s="53" t="s">
        <v>300</v>
      </c>
      <c r="E6" s="53" t="s">
        <v>301</v>
      </c>
      <c r="F6" s="53" t="s">
        <v>302</v>
      </c>
    </row>
    <row r="7" ht="30.0" customHeight="1">
      <c r="A7" s="47" t="s">
        <v>303</v>
      </c>
      <c r="B7" s="47" t="s">
        <v>304</v>
      </c>
      <c r="C7" s="47" t="s">
        <v>305</v>
      </c>
      <c r="D7" s="51" t="s">
        <v>306</v>
      </c>
      <c r="E7" s="51" t="s">
        <v>306</v>
      </c>
      <c r="F7" s="51" t="s">
        <v>307</v>
      </c>
    </row>
    <row r="8" ht="30.0" customHeight="1">
      <c r="A8" s="52" t="s">
        <v>308</v>
      </c>
      <c r="B8" s="52" t="s">
        <v>309</v>
      </c>
      <c r="C8" s="52" t="s">
        <v>310</v>
      </c>
      <c r="D8" s="53" t="s">
        <v>311</v>
      </c>
      <c r="E8" s="53" t="s">
        <v>312</v>
      </c>
      <c r="F8" s="53" t="s">
        <v>313</v>
      </c>
    </row>
    <row r="9" ht="30.0" customHeight="1">
      <c r="A9" s="47" t="s">
        <v>314</v>
      </c>
      <c r="B9" s="47" t="s">
        <v>315</v>
      </c>
      <c r="C9" s="47" t="s">
        <v>316</v>
      </c>
      <c r="D9" s="51" t="s">
        <v>317</v>
      </c>
      <c r="E9" s="51" t="s">
        <v>318</v>
      </c>
      <c r="F9" s="51" t="s">
        <v>319</v>
      </c>
    </row>
    <row r="10" ht="30.0" customHeight="1">
      <c r="A10" s="52" t="s">
        <v>320</v>
      </c>
      <c r="B10" s="52" t="s">
        <v>321</v>
      </c>
      <c r="C10" s="52" t="s">
        <v>316</v>
      </c>
      <c r="D10" s="53" t="s">
        <v>317</v>
      </c>
      <c r="E10" s="53" t="s">
        <v>318</v>
      </c>
      <c r="F10" s="53" t="s">
        <v>319</v>
      </c>
    </row>
    <row r="11" ht="30.0" customHeight="1">
      <c r="A11" s="47" t="s">
        <v>322</v>
      </c>
      <c r="B11" s="47" t="s">
        <v>323</v>
      </c>
      <c r="C11" s="47" t="s">
        <v>324</v>
      </c>
      <c r="D11" s="51" t="s">
        <v>325</v>
      </c>
      <c r="E11" s="51" t="s">
        <v>326</v>
      </c>
      <c r="F11" s="51" t="s">
        <v>327</v>
      </c>
    </row>
    <row r="12" ht="30.0" customHeight="1">
      <c r="A12" s="52" t="s">
        <v>328</v>
      </c>
      <c r="B12" s="52" t="s">
        <v>329</v>
      </c>
      <c r="C12" s="52" t="s">
        <v>324</v>
      </c>
      <c r="D12" s="53" t="s">
        <v>325</v>
      </c>
      <c r="E12" s="53" t="s">
        <v>326</v>
      </c>
      <c r="F12" s="53" t="s">
        <v>327</v>
      </c>
    </row>
    <row r="13" ht="30.0" customHeight="1">
      <c r="A13" s="47" t="s">
        <v>330</v>
      </c>
      <c r="B13" s="47" t="s">
        <v>331</v>
      </c>
      <c r="C13" s="47" t="s">
        <v>332</v>
      </c>
      <c r="D13" s="51" t="s">
        <v>333</v>
      </c>
      <c r="E13" s="51" t="s">
        <v>334</v>
      </c>
      <c r="F13" s="51" t="s">
        <v>335</v>
      </c>
    </row>
    <row r="14" ht="30.0" customHeight="1">
      <c r="A14" s="52" t="s">
        <v>336</v>
      </c>
      <c r="B14" s="52" t="s">
        <v>337</v>
      </c>
      <c r="C14" s="52" t="s">
        <v>338</v>
      </c>
      <c r="D14" s="53" t="s">
        <v>339</v>
      </c>
      <c r="E14" s="53" t="s">
        <v>340</v>
      </c>
      <c r="F14" s="53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